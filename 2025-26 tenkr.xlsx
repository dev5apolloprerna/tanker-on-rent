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d07d3f771678a2e/Desktop/"/>
    </mc:Choice>
  </mc:AlternateContent>
  <xr:revisionPtr revIDLastSave="1018" documentId="13_ncr:1_{5A2666CB-8EBC-4BAD-B282-6AB46F15D7DD}" xr6:coauthVersionLast="47" xr6:coauthVersionMax="47" xr10:uidLastSave="{3DA69BD8-3583-4143-B953-514C978C300A}"/>
  <bookViews>
    <workbookView xWindow="-110" yWindow="-110" windowWidth="19420" windowHeight="10300" firstSheet="12" activeTab="13" xr2:uid="{00000000-000D-0000-FFFF-FFFF00000000}"/>
  </bookViews>
  <sheets>
    <sheet name="ચંદ્ર્કાંતભાઈ દેસાઈ" sheetId="1" r:id="rId1"/>
    <sheet name="હિરેન કુમાર કાલુંભાઈ પરખિયા" sheetId="2" r:id="rId2"/>
    <sheet name="જયેશ ભાઈ આહીર" sheetId="3" r:id="rId3"/>
    <sheet name="હિરલસિંહ ગુણવંતસિંહ રાઓલ " sheetId="5" r:id="rId4"/>
    <sheet name="વસરા આહીર જગાભાઈ કાનાભાઈ 2" sheetId="41" r:id="rId5"/>
    <sheet name="ભીમણી સંજયભાઈ બ્રીજલ ભાઈ" sheetId="6" r:id="rId6"/>
    <sheet name="PMP કન્સ્ટ્રકશન" sheetId="7" r:id="rId7"/>
    <sheet name="Sheet1" sheetId="51" r:id="rId8"/>
    <sheet name="રવિભાઈ પટેલ" sheetId="8" r:id="rId9"/>
    <sheet name="Sheet3" sheetId="10" r:id="rId10"/>
    <sheet name="Sheet2" sheetId="9" r:id="rId11"/>
    <sheet name="રૂપેશભાઈ ઠક્કર " sheetId="39" r:id="rId12"/>
    <sheet name="અરવિંદભાઈ ONGC" sheetId="14" r:id="rId13"/>
    <sheet name="Sheet10" sheetId="37" r:id="rId14"/>
    <sheet name="ચિરાગભાઈ સુરાણી" sheetId="15" r:id="rId15"/>
    <sheet name="સતિષ ભાઈ ભ્રમભટ્ટ" sheetId="16" r:id="rId16"/>
    <sheet name="Sheet12" sheetId="44" r:id="rId17"/>
    <sheet name="પટેલ ચિંતન ભાઈ " sheetId="17" r:id="rId18"/>
    <sheet name="અલ્પેશભાઈ (મોહનીય કન્સ્ટ્રકશન)" sheetId="19" r:id="rId19"/>
    <sheet name="ભરવાડ લાલાભાઈ લાખાભાઈ" sheetId="18" r:id="rId20"/>
    <sheet name="Sheet5" sheetId="20" r:id="rId21"/>
    <sheet name="ગૌરાંગભાઈ પટેલ (નડિયાદ)" sheetId="22" r:id="rId22"/>
    <sheet name="બ્રિજલભાઈ  ભરવાડ" sheetId="21" r:id="rId23"/>
    <sheet name="ગુરુચરણ ભાઈ (રેલવે કોન્ટ્રાકટર)" sheetId="34" r:id="rId24"/>
    <sheet name="દિયા  કન્સ્ટ્રકશન" sheetId="23" r:id="rId25"/>
    <sheet name="દીવાન ભાઈ" sheetId="27" r:id="rId26"/>
    <sheet name="દિવાન ભાઈ.2" sheetId="46" r:id="rId27"/>
    <sheet name="ભનુભાઈ ભરવાડ" sheetId="35" r:id="rId28"/>
    <sheet name="પરેશભાઈ આયાણી_x0009_" sheetId="28" r:id="rId29"/>
    <sheet name="રાજુ ભાઈ " sheetId="29" r:id="rId30"/>
    <sheet name="ચિંતનભાઈ પટેલ" sheetId="31" r:id="rId31"/>
    <sheet name="સાવંત ભાઈ પદમણી" sheetId="32" r:id="rId32"/>
    <sheet name="Sheet14" sheetId="33" r:id="rId33"/>
    <sheet name="ભાવિન  ભાઈ ભરવાડ" sheetId="36" r:id="rId34"/>
    <sheet name="રવિ ભાઈ દરબાર" sheetId="38" r:id="rId35"/>
    <sheet name="Sheet11" sheetId="43" r:id="rId36"/>
    <sheet name="Sheet13" sheetId="40" r:id="rId37"/>
    <sheet name="વિનુ ભાઈ બદીયાભાઈ" sheetId="45" r:id="rId38"/>
    <sheet name="રતનભાઈ સિંહ પરમાર" sheetId="47" r:id="rId39"/>
    <sheet name="જયંતીભાઈ ONGC" sheetId="48" r:id="rId40"/>
    <sheet name="પ્રતાપ વાઘેલા" sheetId="49" r:id="rId41"/>
    <sheet name="Sheet4" sheetId="50" r:id="rId4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23" l="1"/>
  <c r="F21" i="22" l="1"/>
  <c r="F19" i="51"/>
  <c r="F13" i="51"/>
  <c r="F9" i="51"/>
  <c r="F56" i="3"/>
  <c r="C25" i="40"/>
  <c r="F33" i="33"/>
  <c r="C40" i="33"/>
  <c r="C51" i="7"/>
  <c r="C29" i="31"/>
  <c r="C84" i="36"/>
  <c r="C79" i="5"/>
  <c r="F23" i="41"/>
  <c r="F26" i="49"/>
  <c r="F17" i="49"/>
  <c r="F8" i="49"/>
  <c r="F34" i="49" s="1"/>
  <c r="F36" i="49" s="1"/>
  <c r="F32" i="48"/>
  <c r="F30" i="48"/>
  <c r="F21" i="48"/>
  <c r="F12" i="48"/>
  <c r="F8" i="48"/>
  <c r="F18" i="44"/>
  <c r="F8" i="44"/>
  <c r="C39" i="29"/>
  <c r="C56" i="3"/>
  <c r="F37" i="3"/>
  <c r="F45" i="3" s="1"/>
  <c r="F37" i="47"/>
  <c r="F27" i="47"/>
  <c r="F17" i="47"/>
  <c r="F8" i="47"/>
  <c r="C46" i="45"/>
  <c r="F33" i="45"/>
  <c r="F24" i="45"/>
  <c r="F39" i="45" s="1"/>
  <c r="F41" i="45" s="1"/>
  <c r="F69" i="21"/>
  <c r="C37" i="8"/>
  <c r="F20" i="46"/>
  <c r="F14" i="46"/>
  <c r="F8" i="46"/>
  <c r="F25" i="46" s="1"/>
  <c r="F24" i="33"/>
  <c r="C59" i="35"/>
  <c r="C34" i="43"/>
  <c r="C38" i="18"/>
  <c r="F18" i="45"/>
  <c r="F8" i="45"/>
  <c r="F16" i="43"/>
  <c r="F8" i="43"/>
  <c r="F63" i="36"/>
  <c r="F8" i="36"/>
  <c r="C30" i="17"/>
  <c r="F17" i="41"/>
  <c r="F8" i="40"/>
  <c r="F8" i="39"/>
  <c r="F73" i="37"/>
  <c r="F66" i="37"/>
  <c r="F60" i="37"/>
  <c r="F53" i="37"/>
  <c r="F25" i="38"/>
  <c r="F17" i="38"/>
  <c r="F8" i="38"/>
  <c r="C82" i="21"/>
  <c r="C72" i="15"/>
  <c r="F46" i="37"/>
  <c r="F39" i="37"/>
  <c r="F32" i="37"/>
  <c r="F24" i="37"/>
  <c r="F17" i="37"/>
  <c r="F9" i="37"/>
  <c r="F57" i="36"/>
  <c r="F51" i="36"/>
  <c r="F45" i="36"/>
  <c r="F39" i="36"/>
  <c r="F32" i="36"/>
  <c r="F24" i="36"/>
  <c r="F16" i="36"/>
  <c r="C26" i="28"/>
  <c r="F44" i="35"/>
  <c r="F35" i="35"/>
  <c r="F27" i="35"/>
  <c r="F20" i="35"/>
  <c r="F9" i="35"/>
  <c r="F8" i="34"/>
  <c r="F16" i="34" s="1"/>
  <c r="F18" i="34" s="1"/>
  <c r="F17" i="33"/>
  <c r="F8" i="33"/>
  <c r="D40" i="32"/>
  <c r="F14" i="32"/>
  <c r="F8" i="32"/>
  <c r="F19" i="31"/>
  <c r="F21" i="31" s="1"/>
  <c r="F14" i="31"/>
  <c r="F8" i="31"/>
  <c r="F17" i="29"/>
  <c r="F8" i="29"/>
  <c r="S42" i="2"/>
  <c r="F8" i="28"/>
  <c r="F16" i="28" s="1"/>
  <c r="F18" i="28" s="1"/>
  <c r="F31" i="27"/>
  <c r="F26" i="27"/>
  <c r="F20" i="27"/>
  <c r="F14" i="27"/>
  <c r="F8" i="27"/>
  <c r="F50" i="5"/>
  <c r="F21" i="3"/>
  <c r="F23" i="51" l="1"/>
  <c r="F25" i="51" s="1"/>
  <c r="F28" i="29"/>
  <c r="F30" i="29" s="1"/>
  <c r="F69" i="36"/>
  <c r="F71" i="36" s="1"/>
  <c r="F27" i="41"/>
  <c r="F26" i="43"/>
  <c r="F28" i="43" s="1"/>
  <c r="F46" i="47"/>
  <c r="F30" i="33"/>
  <c r="F51" i="35"/>
  <c r="F53" i="35" s="1"/>
  <c r="F33" i="38"/>
  <c r="F35" i="38" s="1"/>
  <c r="F78" i="37"/>
  <c r="F80" i="37" s="1"/>
  <c r="F21" i="32"/>
  <c r="F25" i="32" s="1"/>
  <c r="F38" i="23"/>
  <c r="F27" i="23"/>
  <c r="F18" i="23"/>
  <c r="F8" i="23"/>
  <c r="F59" i="21"/>
  <c r="F53" i="21"/>
  <c r="F45" i="21"/>
  <c r="F39" i="21"/>
  <c r="F29" i="21"/>
  <c r="F20" i="21"/>
  <c r="F8" i="21"/>
  <c r="F9" i="22"/>
  <c r="F19" i="22" s="1"/>
  <c r="F19" i="20"/>
  <c r="F17" i="20"/>
  <c r="F9" i="20"/>
  <c r="F19" i="18"/>
  <c r="F8" i="18"/>
  <c r="F17" i="19"/>
  <c r="F8" i="19"/>
  <c r="F19" i="17"/>
  <c r="F21" i="17" s="1"/>
  <c r="F13" i="17"/>
  <c r="F8" i="17"/>
  <c r="F14" i="16"/>
  <c r="F8" i="16"/>
  <c r="F56" i="15"/>
  <c r="F48" i="15"/>
  <c r="F38" i="15"/>
  <c r="F28" i="15"/>
  <c r="F18" i="15"/>
  <c r="F9" i="15"/>
  <c r="F56" i="14"/>
  <c r="F50" i="14"/>
  <c r="F44" i="14"/>
  <c r="F38" i="14"/>
  <c r="F32" i="14"/>
  <c r="F24" i="14"/>
  <c r="F16" i="14"/>
  <c r="F9" i="14"/>
  <c r="F14" i="10"/>
  <c r="F7" i="10"/>
  <c r="F27" i="9"/>
  <c r="F18" i="9"/>
  <c r="F10" i="9"/>
  <c r="F20" i="8"/>
  <c r="F9" i="8"/>
  <c r="F28" i="8" l="1"/>
  <c r="F30" i="8" s="1"/>
  <c r="F74" i="21"/>
  <c r="F50" i="23"/>
  <c r="F27" i="18"/>
  <c r="F29" i="18" s="1"/>
  <c r="F62" i="15"/>
  <c r="F64" i="15" s="1"/>
  <c r="F23" i="19"/>
  <c r="F25" i="19" s="1"/>
  <c r="F21" i="10"/>
  <c r="F23" i="10" s="1"/>
  <c r="F39" i="9"/>
  <c r="F41" i="9" s="1"/>
  <c r="F43" i="9" s="1"/>
  <c r="F30" i="7"/>
  <c r="F19" i="7"/>
  <c r="F9" i="7"/>
  <c r="F38" i="7" l="1"/>
  <c r="F40" i="7" s="1"/>
  <c r="F42" i="7" s="1"/>
  <c r="F19" i="6"/>
  <c r="F9" i="6"/>
  <c r="F26" i="2"/>
  <c r="F9" i="2"/>
  <c r="F59" i="5"/>
  <c r="F39" i="5"/>
  <c r="F29" i="5"/>
  <c r="F19" i="5"/>
  <c r="F9" i="5"/>
  <c r="F28" i="6" l="1"/>
  <c r="F30" i="6" s="1"/>
  <c r="F35" i="2"/>
  <c r="F67" i="5"/>
  <c r="F69" i="5" s="1"/>
  <c r="F31" i="3"/>
  <c r="F8" i="3"/>
  <c r="C48" i="2"/>
  <c r="F8" i="1"/>
  <c r="F19" i="1" s="1"/>
  <c r="F47" i="3" l="1"/>
  <c r="F37" i="2"/>
  <c r="F76" i="21"/>
</calcChain>
</file>

<file path=xl/sharedStrings.xml><?xml version="1.0" encoding="utf-8"?>
<sst xmlns="http://schemas.openxmlformats.org/spreadsheetml/2006/main" count="1377" uniqueCount="599">
  <si>
    <t>સુવિધા વોટર સપ્લાયર્સ</t>
  </si>
  <si>
    <r>
      <t xml:space="preserve">ચંદ્રકાંતભાઈ દેસાઈ   </t>
    </r>
    <r>
      <rPr>
        <b/>
        <sz val="12"/>
        <color theme="1"/>
        <rFont val="Calibri"/>
        <family val="2"/>
        <scheme val="minor"/>
      </rPr>
      <t>mo:(૯૮૨૫૦૨૬૦૭૮)</t>
    </r>
  </si>
  <si>
    <t>ટેન્કર.૧</t>
  </si>
  <si>
    <t>જય શ્રી જમના મૈયા</t>
  </si>
  <si>
    <t>AE-૩૧</t>
  </si>
  <si>
    <t>મહિના</t>
  </si>
  <si>
    <t>રકમ</t>
  </si>
  <si>
    <t>કૂલ રકમ</t>
  </si>
  <si>
    <t>હિરેન કુમાર કાલુંભાઈ પરખિયા MO.(૯૮૯૮૪૩૭૪૨૪)</t>
  </si>
  <si>
    <t>જય વિશ્વકર્મા</t>
  </si>
  <si>
    <t>AZ-૨૬</t>
  </si>
  <si>
    <t>GJ23V8287</t>
  </si>
  <si>
    <t>.</t>
  </si>
  <si>
    <t>ટેન્કર.૨</t>
  </si>
  <si>
    <t xml:space="preserve">જય શ્રી નર્મદામૈયા </t>
  </si>
  <si>
    <t>AF-૩૨</t>
  </si>
  <si>
    <t>GJ23V8528</t>
  </si>
  <si>
    <t>જમા રકમ</t>
  </si>
  <si>
    <t>26/9/25</t>
  </si>
  <si>
    <t>બાકી રકમ</t>
  </si>
  <si>
    <t>26/11/25</t>
  </si>
  <si>
    <t>19/11/24</t>
  </si>
  <si>
    <t>27/12/24</t>
  </si>
  <si>
    <t>૨૩/૩/૨૫</t>
  </si>
  <si>
    <t>13/9/25</t>
  </si>
  <si>
    <t>18/9/2025</t>
  </si>
  <si>
    <t>જયેશભાઈ આહીર</t>
  </si>
  <si>
    <t>જય વરછરાજ દાદા</t>
  </si>
  <si>
    <t>AAAA-79</t>
  </si>
  <si>
    <t>26/12/25</t>
  </si>
  <si>
    <t>ટેન્કર.2</t>
  </si>
  <si>
    <t>જય શ્રી નાગબાઈ માં</t>
  </si>
  <si>
    <t>AW-79</t>
  </si>
  <si>
    <t>22/11/2025</t>
  </si>
  <si>
    <t>22/12/2025</t>
  </si>
  <si>
    <t>ટેન્કર.3</t>
  </si>
  <si>
    <t>જય ડાડા</t>
  </si>
  <si>
    <t>R-18</t>
  </si>
  <si>
    <t>26/11/2025</t>
  </si>
  <si>
    <t>26/12/2025</t>
  </si>
  <si>
    <t>જમા</t>
  </si>
  <si>
    <t>વસરા આહીર જગાભાઈ કાનાભાઈ MO.(7041030000)</t>
  </si>
  <si>
    <t>ટેન્કર.1</t>
  </si>
  <si>
    <t>શ્રી ક્રુષ્ણ સુદામા</t>
  </si>
  <si>
    <t>AAAAE-108</t>
  </si>
  <si>
    <t>15/10/2025</t>
  </si>
  <si>
    <t>15/11/2025</t>
  </si>
  <si>
    <t>15/12/2025</t>
  </si>
  <si>
    <t>ટેન્કર.4</t>
  </si>
  <si>
    <t>જય શ્રી એકદંતાય</t>
  </si>
  <si>
    <t>AAAAH-111</t>
  </si>
  <si>
    <t>ટેન્કર.5</t>
  </si>
  <si>
    <t>14/12/2025</t>
  </si>
  <si>
    <t>હિરલસિંહ ગુણવંતસિંહ રાઓલ MO.(૬૩૫૨૦૦૨૨૯૩)</t>
  </si>
  <si>
    <t xml:space="preserve">જય ગંગોત્રી </t>
  </si>
  <si>
    <t>AAV-૭૪</t>
  </si>
  <si>
    <t>૨૭/૧૦/૨૫</t>
  </si>
  <si>
    <t>૨૭/૧૧/૨૫</t>
  </si>
  <si>
    <t>૨૭/૧૨/૨૫</t>
  </si>
  <si>
    <t>શ્રી પાનેરા ના ડુંગર ચામુંડા</t>
  </si>
  <si>
    <t>AAAAS-૧૨૨</t>
  </si>
  <si>
    <t>ટેન્કર.૩</t>
  </si>
  <si>
    <t>જય સ્વામિનારાયણ</t>
  </si>
  <si>
    <t>AI-૩૫</t>
  </si>
  <si>
    <t>૨૫/૧૦/૨૫</t>
  </si>
  <si>
    <t>૨૫/૧૧/૨૫</t>
  </si>
  <si>
    <t>૨૫/૧૨/૨૫</t>
  </si>
  <si>
    <t>ટેન્કર.૪</t>
  </si>
  <si>
    <t>જય આશાપુરીમાં પીપલાવ</t>
  </si>
  <si>
    <t>AAAF-૮૪</t>
  </si>
  <si>
    <t>૨૩/૧૧/૨૫</t>
  </si>
  <si>
    <t>૨૩/૧૨/૨૫</t>
  </si>
  <si>
    <t>ટ્રેલર.૧</t>
  </si>
  <si>
    <t>શિવશક્તિ ટ્રેલર</t>
  </si>
  <si>
    <t>GJ૨૩Y૫૭૩૫</t>
  </si>
  <si>
    <t>જમા તારીખ</t>
  </si>
  <si>
    <t>૧૯/૧૧/૨૫</t>
  </si>
  <si>
    <t>૨૦/૧૨/૨૫</t>
  </si>
  <si>
    <t>ભીમણી સંજયભાઈ બ્રીજલ ભાઈ  mo.8320026126</t>
  </si>
  <si>
    <t>જય શ્રી ચન્દ્રદેવ</t>
  </si>
  <si>
    <t>AAAAG-110</t>
  </si>
  <si>
    <t>26/7/2025</t>
  </si>
  <si>
    <t>26/8/2025</t>
  </si>
  <si>
    <t>26/9/2025</t>
  </si>
  <si>
    <t>26/10/2025</t>
  </si>
  <si>
    <t>જય શ્રી વાયુ દેવ</t>
  </si>
  <si>
    <t>AAAAL-115</t>
  </si>
  <si>
    <t>કૂલ ટોટલ</t>
  </si>
  <si>
    <t>26/7/25</t>
  </si>
  <si>
    <t>૨૭/૧/૨૦૨૬</t>
  </si>
  <si>
    <t>૨૫/૧/૨૦૨૬</t>
  </si>
  <si>
    <t>૨૩/૧/૨૦૨૬</t>
  </si>
  <si>
    <t>૨૨/૧/૨૦૨૬</t>
  </si>
  <si>
    <t>18/10/2025</t>
  </si>
  <si>
    <t>18/11/2025</t>
  </si>
  <si>
    <t>18/12/2025</t>
  </si>
  <si>
    <t>18/1/2026</t>
  </si>
  <si>
    <t>26/1/2026</t>
  </si>
  <si>
    <t>14/1/2026</t>
  </si>
  <si>
    <t>ટોટલ રકમ</t>
  </si>
  <si>
    <t>જય બદ્રિનાથ</t>
  </si>
  <si>
    <t>AAW-75</t>
  </si>
  <si>
    <t>જય ભદ્ધકાળી</t>
  </si>
  <si>
    <t>AAAAO-118</t>
  </si>
  <si>
    <t>જય શ્રી ભીમ</t>
  </si>
  <si>
    <t>AAAAT-112</t>
  </si>
  <si>
    <t>22/1/2026</t>
  </si>
  <si>
    <t>પાણી ફેરા</t>
  </si>
  <si>
    <t>PMP કન્સ્ટ્રકશન</t>
  </si>
  <si>
    <t>રવિભાઈ પટેલ</t>
  </si>
  <si>
    <t>જય ઉમિયા માતા</t>
  </si>
  <si>
    <t>AM-39</t>
  </si>
  <si>
    <t xml:space="preserve">મહિના </t>
  </si>
  <si>
    <t>ચોટીલા ના ચામુંડા માં</t>
  </si>
  <si>
    <t>AAAC-81</t>
  </si>
  <si>
    <t>27/10/2025</t>
  </si>
  <si>
    <t>27/11/2025</t>
  </si>
  <si>
    <t>27/12/2025</t>
  </si>
  <si>
    <t>27/1/2026</t>
  </si>
  <si>
    <t>આગળ બાકી</t>
  </si>
  <si>
    <r>
      <t xml:space="preserve">મૌલિકભાઈ પરમાર  </t>
    </r>
    <r>
      <rPr>
        <b/>
        <sz val="12"/>
        <color theme="1"/>
        <rFont val="Calibri"/>
        <family val="2"/>
        <scheme val="minor"/>
      </rPr>
      <t xml:space="preserve">(માં કન્સ્ટ્રકશન) </t>
    </r>
    <r>
      <rPr>
        <sz val="11"/>
        <color theme="1"/>
        <rFont val="Calibri"/>
        <family val="2"/>
        <scheme val="minor"/>
      </rPr>
      <t xml:space="preserve">      MO:(973706069)</t>
    </r>
  </si>
  <si>
    <t>જય રાજબાઈ માં</t>
  </si>
  <si>
    <t>T-20</t>
  </si>
  <si>
    <t xml:space="preserve">રકમ </t>
  </si>
  <si>
    <t>20/10/2025</t>
  </si>
  <si>
    <t>જય વાઘેશ્વેરી માં</t>
  </si>
  <si>
    <t>AAAJ-88</t>
  </si>
  <si>
    <t>જય રાધેશ્યામ</t>
  </si>
  <si>
    <t>AAAAC-106</t>
  </si>
  <si>
    <t>21/10/2025</t>
  </si>
  <si>
    <t>મૌલિકભાઈ પરમાર (isotech)   MO:(9737060692)</t>
  </si>
  <si>
    <t>AAZ-78</t>
  </si>
  <si>
    <t>ટેન્કર.6</t>
  </si>
  <si>
    <t>કાનમેરના ચામુંડા માં</t>
  </si>
  <si>
    <t>ટેન્કર.8</t>
  </si>
  <si>
    <t>જય મહીસાગર મૈયા</t>
  </si>
  <si>
    <t>AG-33</t>
  </si>
  <si>
    <t>20/11/2025</t>
  </si>
  <si>
    <t>20/12/2025</t>
  </si>
  <si>
    <t>20/1/2026</t>
  </si>
  <si>
    <t>21/11/2025</t>
  </si>
  <si>
    <t>21/12/2025</t>
  </si>
  <si>
    <t>21/1/2026</t>
  </si>
  <si>
    <t>13/10/2025</t>
  </si>
  <si>
    <t>13/11/2025</t>
  </si>
  <si>
    <t>13/12/2025</t>
  </si>
  <si>
    <t>13/1/2026</t>
  </si>
  <si>
    <t>F-6</t>
  </si>
  <si>
    <t>16/1/2026</t>
  </si>
  <si>
    <t>જય ગુરુનાનક</t>
  </si>
  <si>
    <t>AQ-43</t>
  </si>
  <si>
    <t>24/12/2025</t>
  </si>
  <si>
    <t>24/1/2026</t>
  </si>
  <si>
    <t>રૂપેશભાઈ ઠક્કર MO(૯૯૨૫૨૪૧૫૧૮)</t>
  </si>
  <si>
    <t>જય શ્રી વેરાઈ માં</t>
  </si>
  <si>
    <t>AAH-૬૦</t>
  </si>
  <si>
    <t>કોક</t>
  </si>
  <si>
    <t>વોશિંગ</t>
  </si>
  <si>
    <t>ટેન્કર'.૫</t>
  </si>
  <si>
    <t xml:space="preserve">જમા </t>
  </si>
  <si>
    <t>૧૭/૧૨/૨૫</t>
  </si>
  <si>
    <t>અરવિંદભાઈ ONGC</t>
  </si>
  <si>
    <t>જય યોગેશ્વર</t>
  </si>
  <si>
    <t>AAR-70</t>
  </si>
  <si>
    <t>જય સૂર્યદેવ</t>
  </si>
  <si>
    <t>AAAAF-109</t>
  </si>
  <si>
    <t>29/10/2025</t>
  </si>
  <si>
    <t>29/11/2025</t>
  </si>
  <si>
    <t>29/1/2026</t>
  </si>
  <si>
    <t>29/12/2025</t>
  </si>
  <si>
    <t>જય મારુતિ નંદન</t>
  </si>
  <si>
    <t>AN-40</t>
  </si>
  <si>
    <t>13/1/26</t>
  </si>
  <si>
    <t>જય શ્રી કેશવ</t>
  </si>
  <si>
    <t>AAG-59</t>
  </si>
  <si>
    <t>જય શ્રી રવેચી માં</t>
  </si>
  <si>
    <t>AL-38</t>
  </si>
  <si>
    <t>જય શ્રી માધવ</t>
  </si>
  <si>
    <t>ટેન્કર.7</t>
  </si>
  <si>
    <t>જય સાઈ બાબા</t>
  </si>
  <si>
    <t>AP-42</t>
  </si>
  <si>
    <t>જય શ્રી ક્રુષ્ણ</t>
  </si>
  <si>
    <t>ટેન્કર02</t>
  </si>
  <si>
    <t>જય ભાથીજી મહારાજ</t>
  </si>
  <si>
    <t>AT-46</t>
  </si>
  <si>
    <t>Y-25</t>
  </si>
  <si>
    <t>જય સાઈબાબા</t>
  </si>
  <si>
    <t>જય શ્રી સૂર્ય દેવ</t>
  </si>
  <si>
    <t>AAAAE-109</t>
  </si>
  <si>
    <t>16/2/2026</t>
  </si>
  <si>
    <t>શ્રી ગણેશયા નમઃ</t>
  </si>
  <si>
    <t>17/1/2026</t>
  </si>
  <si>
    <t>17/2/2026</t>
  </si>
  <si>
    <t>22/2/2026</t>
  </si>
  <si>
    <t>ચિરાગભાઈ સુરાણી ( MO:9904459749)</t>
  </si>
  <si>
    <t xml:space="preserve"> </t>
  </si>
  <si>
    <t>સતિષભાઈ ભ્રમભટ્ટ</t>
  </si>
  <si>
    <t>જય કુળ દેવી</t>
  </si>
  <si>
    <t>m-13</t>
  </si>
  <si>
    <t>26/1/25</t>
  </si>
  <si>
    <t xml:space="preserve">પટેલ ચિંતન ભાઈ </t>
  </si>
  <si>
    <t>જય ભોલેનાથ</t>
  </si>
  <si>
    <t>E-5</t>
  </si>
  <si>
    <t>જય ગુરુ નાનક</t>
  </si>
  <si>
    <t>વિજય ભાઈ ભરવાડ</t>
  </si>
  <si>
    <t>15/1/26</t>
  </si>
  <si>
    <t>25/1/2026</t>
  </si>
  <si>
    <t>13/2/2026</t>
  </si>
  <si>
    <t>20/2/2026</t>
  </si>
  <si>
    <t xml:space="preserve">માં કન્સ્ટ્રકશન </t>
  </si>
  <si>
    <t>isotech</t>
  </si>
  <si>
    <t>અલ્પેશભાઈ (મોહનીય કન્સ્ટ્રકશન)</t>
  </si>
  <si>
    <t>જય શ્રી ચામુંડા માતા</t>
  </si>
  <si>
    <t>C-3</t>
  </si>
  <si>
    <t>જય સંતોષો માં</t>
  </si>
  <si>
    <t>X-24</t>
  </si>
  <si>
    <t>GJ23V8530</t>
  </si>
  <si>
    <t>ભરવાડ લાલાભાઈ લાખાભાઈ</t>
  </si>
  <si>
    <t>જય શ્રી શંકર પાર્વતિ</t>
  </si>
  <si>
    <t>AAAAJ-113</t>
  </si>
  <si>
    <t>22/8/2025</t>
  </si>
  <si>
    <t>22/9/2025</t>
  </si>
  <si>
    <t>22/10/2025</t>
  </si>
  <si>
    <t>શ્રી વેણુ ડાડા</t>
  </si>
  <si>
    <t>AAAL-90</t>
  </si>
  <si>
    <t>22/8/25</t>
  </si>
  <si>
    <t>27/11/25</t>
  </si>
  <si>
    <t>જય હરસિદ્ધિ માં</t>
  </si>
  <si>
    <t>ટેન્કર ખર્ચ</t>
  </si>
  <si>
    <t>ગોબો ઉપવાળ ખર્ચ લેવાનો</t>
  </si>
  <si>
    <t>ખર્ચ</t>
  </si>
  <si>
    <t>ટોટલ ભાડા સાથે કપલિન</t>
  </si>
  <si>
    <t>ગૌરાંગભાઈ પટેલ (નડિયાદ)</t>
  </si>
  <si>
    <t>જય શ્રી ઠાકર</t>
  </si>
  <si>
    <t>AAS-97</t>
  </si>
  <si>
    <t>16/10/2025</t>
  </si>
  <si>
    <t>16/11/2025</t>
  </si>
  <si>
    <t>16/12/2025</t>
  </si>
  <si>
    <t>16/3/2026</t>
  </si>
  <si>
    <t>27/2/2026</t>
  </si>
  <si>
    <t>27/3/2026</t>
  </si>
  <si>
    <t>29/2/2026</t>
  </si>
  <si>
    <t>26/2/2026</t>
  </si>
  <si>
    <t>22/3/2026</t>
  </si>
  <si>
    <t>18/6/2026</t>
  </si>
  <si>
    <t>18/2/2026</t>
  </si>
  <si>
    <t>બ્રિજલભાઈ  ભરવાડ</t>
  </si>
  <si>
    <t>શ્રી કષ્ટભંજન દેવ</t>
  </si>
  <si>
    <t>AAAAP-94</t>
  </si>
  <si>
    <t>25/9/2025</t>
  </si>
  <si>
    <t>25/10/2025</t>
  </si>
  <si>
    <t>25/11/2025</t>
  </si>
  <si>
    <t>25/12/2025</t>
  </si>
  <si>
    <t>25/2/2026</t>
  </si>
  <si>
    <t>25/3/2026</t>
  </si>
  <si>
    <t>જય શ્રી મસાણિ માં</t>
  </si>
  <si>
    <t>AAAAA-105</t>
  </si>
  <si>
    <t>15/1/2026</t>
  </si>
  <si>
    <t>15/2/2026</t>
  </si>
  <si>
    <t>15/3/2026</t>
  </si>
  <si>
    <t>જય શ્રી ઉજ્જૈન ના મહાકાલેસ્વર</t>
  </si>
  <si>
    <t>AAAG-85</t>
  </si>
  <si>
    <t>રાપરના ચડી ચામુંડા માં</t>
  </si>
  <si>
    <t>AAAAW-126</t>
  </si>
  <si>
    <t>જય શ્રી નીલકંઠવરણી</t>
  </si>
  <si>
    <t>AAX-102</t>
  </si>
  <si>
    <t>18/2/26</t>
  </si>
  <si>
    <t>જય શ્રી શુભલાભ</t>
  </si>
  <si>
    <t>AAAI-87</t>
  </si>
  <si>
    <t>ૐ નમઃ શિવાય</t>
  </si>
  <si>
    <t>AAF-58</t>
  </si>
  <si>
    <t>23/11/2025</t>
  </si>
  <si>
    <t>23/12/2025</t>
  </si>
  <si>
    <t>કોક કપલિન</t>
  </si>
  <si>
    <t>અનિલ ભાઈ પ્રજાપતિ</t>
  </si>
  <si>
    <t>જય ત્રિદેવ</t>
  </si>
  <si>
    <t>AAP-67</t>
  </si>
  <si>
    <t>14/10/25</t>
  </si>
  <si>
    <t>14/11/25</t>
  </si>
  <si>
    <t>14/12/25</t>
  </si>
  <si>
    <t>14/1/26</t>
  </si>
  <si>
    <t>14/2/26</t>
  </si>
  <si>
    <t>14/3/26</t>
  </si>
  <si>
    <t>શ્રી ભગવદગીતા</t>
  </si>
  <si>
    <t>AAAB-80</t>
  </si>
  <si>
    <t>24/10/25</t>
  </si>
  <si>
    <t>24/11/25</t>
  </si>
  <si>
    <t>24/12/25</t>
  </si>
  <si>
    <t>20/12/25</t>
  </si>
  <si>
    <t>કપલિંગ</t>
  </si>
  <si>
    <t>જય શ્રી વરુડી માતાજી</t>
  </si>
  <si>
    <t>AAAO-93</t>
  </si>
  <si>
    <t>જય સંતરામ મહારાજ</t>
  </si>
  <si>
    <t>AJ-35</t>
  </si>
  <si>
    <t>29/10/25</t>
  </si>
  <si>
    <t>29/11/25</t>
  </si>
  <si>
    <t>29/12/25</t>
  </si>
  <si>
    <t>29/1/26</t>
  </si>
  <si>
    <t>29/2/26</t>
  </si>
  <si>
    <t>29/3/26</t>
  </si>
  <si>
    <t>કૂલ બાકી ટોટલ</t>
  </si>
  <si>
    <t>૨૭/૨/૨૦૨૬</t>
  </si>
  <si>
    <t>૨૭/૩/૨૦૨૬</t>
  </si>
  <si>
    <t>૨૫/૨/૨૦૨૬</t>
  </si>
  <si>
    <t>૨૫/૩/૨૦૨૬</t>
  </si>
  <si>
    <t>૨૩/૨/૨૦૨૬</t>
  </si>
  <si>
    <t>૨૩/૩/૨૦૨૬</t>
  </si>
  <si>
    <t>ટેન્કર.૫</t>
  </si>
  <si>
    <t>AAAB-૮૦</t>
  </si>
  <si>
    <t>૨૧/૧૨/૨૦૨૫</t>
  </si>
  <si>
    <t>૨૧/૧/૨૦૨૬</t>
  </si>
  <si>
    <t>૨૧/૨/૨૦૨૬</t>
  </si>
  <si>
    <t>૨૧/૩/૨૦૨૬</t>
  </si>
  <si>
    <t>14/2/2026</t>
  </si>
  <si>
    <t>14/3/2026</t>
  </si>
  <si>
    <t>જય જીવણી સતી માં</t>
  </si>
  <si>
    <t>17/3/2026</t>
  </si>
  <si>
    <t>વાગડ ના ચંડી ચામુંડા માં</t>
  </si>
  <si>
    <t>AAAAX-127</t>
  </si>
  <si>
    <t>જય દ્ધારકાધીશ</t>
  </si>
  <si>
    <t>AAD-56</t>
  </si>
  <si>
    <t>23/1/2026</t>
  </si>
  <si>
    <t>23/2/2026</t>
  </si>
  <si>
    <t>23/3/2026</t>
  </si>
  <si>
    <t>જય રાજાધિરાજ</t>
  </si>
  <si>
    <t>AAAAD-107</t>
  </si>
  <si>
    <t>જય યમનોત્રી</t>
  </si>
  <si>
    <t>17/10/25</t>
  </si>
  <si>
    <t>17/1/26</t>
  </si>
  <si>
    <t>ભનુભાઈ ભરવાડ</t>
  </si>
  <si>
    <t>29/3/2026</t>
  </si>
  <si>
    <t>દીવાન ભાઈ MO:૭૫૬૭૮૯૮૮૮૭</t>
  </si>
  <si>
    <t>જય શ્રીનાથજી</t>
  </si>
  <si>
    <t>G-૭</t>
  </si>
  <si>
    <t>૨૪/૧૧/૨૫</t>
  </si>
  <si>
    <t>૨૪/૧૨/૨૫</t>
  </si>
  <si>
    <t>૨૪/૨/૨૬</t>
  </si>
  <si>
    <t>૨૫/૨/૨૬</t>
  </si>
  <si>
    <t>૨૪/૧/૨૬</t>
  </si>
  <si>
    <t>જય શ્રી અગનિ દેવ</t>
  </si>
  <si>
    <t>AAAAK-૧૧૪</t>
  </si>
  <si>
    <t>૨૨/૧૨/૨૦૨૫</t>
  </si>
  <si>
    <t>૨૨/૨/૨૦૨૬</t>
  </si>
  <si>
    <t>જય સૂંધા માતા</t>
  </si>
  <si>
    <t>AAQ-૬૯</t>
  </si>
  <si>
    <t>જય મહાકાળી માં</t>
  </si>
  <si>
    <t>Q-૧૭</t>
  </si>
  <si>
    <t>પરેશભાઈ આયાણી</t>
  </si>
  <si>
    <t>શ્રી રાધેરાધે</t>
  </si>
  <si>
    <t>AAAS-99</t>
  </si>
  <si>
    <t>બાકી ટોટલ</t>
  </si>
  <si>
    <t>26/3/2026</t>
  </si>
  <si>
    <t>18/3/2026</t>
  </si>
  <si>
    <t>20/3/2026</t>
  </si>
  <si>
    <t xml:space="preserve">રાજુ ભાઈ </t>
  </si>
  <si>
    <t>જય સોમનાથ</t>
  </si>
  <si>
    <t>AR-44</t>
  </si>
  <si>
    <t>જય કોટેસ્વર મહાદેવ</t>
  </si>
  <si>
    <t>AAAV-100</t>
  </si>
  <si>
    <t>21/1/26</t>
  </si>
  <si>
    <t>28/2/26</t>
  </si>
  <si>
    <t>ચિંતનભાઈ પટેલ</t>
  </si>
  <si>
    <t>27/1/26</t>
  </si>
  <si>
    <t>28/1/26</t>
  </si>
  <si>
    <t>સાવંત ભાઈ પદમણી</t>
  </si>
  <si>
    <t>જય શ્રી ચંદ્ર દેવ</t>
  </si>
  <si>
    <t>23/12/25</t>
  </si>
  <si>
    <t>23/1/26</t>
  </si>
  <si>
    <t>23/2/26</t>
  </si>
  <si>
    <t>23/3/26</t>
  </si>
  <si>
    <t>રાપર ના ચંડીચામુંડા</t>
  </si>
  <si>
    <t>AAAAV-125</t>
  </si>
  <si>
    <t>27/2/26</t>
  </si>
  <si>
    <t>પાણી ભરાઈ</t>
  </si>
  <si>
    <t>ભાવ</t>
  </si>
  <si>
    <t>ટોટલ</t>
  </si>
  <si>
    <t>ફેરા</t>
  </si>
  <si>
    <t>પાણી ભરાઈ તારીખ</t>
  </si>
  <si>
    <t>થી</t>
  </si>
  <si>
    <t>તારીખ</t>
  </si>
  <si>
    <t>વિગત</t>
  </si>
  <si>
    <t>જગયા</t>
  </si>
  <si>
    <t>સ્વ્મિંગ પુલ</t>
  </si>
  <si>
    <t>ભાડે</t>
  </si>
  <si>
    <t>16/10/25</t>
  </si>
  <si>
    <t>નેરું બાગ</t>
  </si>
  <si>
    <t>1 ફેરો</t>
  </si>
  <si>
    <t>KU</t>
  </si>
  <si>
    <t>જય મામા</t>
  </si>
  <si>
    <t>AY-51</t>
  </si>
  <si>
    <t>શ્રી લક્ષ્મી માતા</t>
  </si>
  <si>
    <t>S-19</t>
  </si>
  <si>
    <t>22/4/2026</t>
  </si>
  <si>
    <t>18/4/2026</t>
  </si>
  <si>
    <t>26/4/2026</t>
  </si>
  <si>
    <t>17/4/2026</t>
  </si>
  <si>
    <t>16/4/2026</t>
  </si>
  <si>
    <t>29/4/206</t>
  </si>
  <si>
    <t>27/4/2026</t>
  </si>
  <si>
    <t>20/4/2026</t>
  </si>
  <si>
    <t>21/2/2026</t>
  </si>
  <si>
    <t>21/3/2026</t>
  </si>
  <si>
    <t>21/4/2026</t>
  </si>
  <si>
    <t>૨૭/૪/૨૦૨૬</t>
  </si>
  <si>
    <t>૨૫/૪/૨૦૨૬</t>
  </si>
  <si>
    <t>૨૩/૪/૨૦૨૬</t>
  </si>
  <si>
    <t>૨૧/૪/૨૦૨૬</t>
  </si>
  <si>
    <t>27/4/206</t>
  </si>
  <si>
    <t>23/4/2026</t>
  </si>
  <si>
    <t>15/4/2026</t>
  </si>
  <si>
    <t>25/4/2026</t>
  </si>
  <si>
    <t>ગુરુચરણ ભાઈ (રેલવે કોન્ટ્રાકટર)</t>
  </si>
  <si>
    <t>જય દશામાં</t>
  </si>
  <si>
    <t>W-23</t>
  </si>
  <si>
    <t>GJ23V7748</t>
  </si>
  <si>
    <t>24/2/2026</t>
  </si>
  <si>
    <t>24/3/2026</t>
  </si>
  <si>
    <t>24/4/2026</t>
  </si>
  <si>
    <t>કર્મા કન્સ્ટ્રકશન  (આકલાવ)</t>
  </si>
  <si>
    <t>26/2/26</t>
  </si>
  <si>
    <t>૧૭/૧૦/૨૫</t>
  </si>
  <si>
    <t>૧૭/૧૧/૨૫</t>
  </si>
  <si>
    <t>૧૭/૧/૨૬</t>
  </si>
  <si>
    <t>૧૭/૨/૨૬</t>
  </si>
  <si>
    <t>૧૭/૩/૨૬</t>
  </si>
  <si>
    <t>૧૭/૪/૨૬</t>
  </si>
  <si>
    <t>૨૬/૨/૨૬</t>
  </si>
  <si>
    <t>AAU-૭૩</t>
  </si>
  <si>
    <t>૨૬/૧૧/૨૫</t>
  </si>
  <si>
    <t>૨૬/૧૨/૨૫</t>
  </si>
  <si>
    <t>૨૬/૧/૨૬</t>
  </si>
  <si>
    <t>બાકી રકમ\</t>
  </si>
  <si>
    <t xml:space="preserve">જય ગોદાવરી મૈયા </t>
  </si>
  <si>
    <t>AAAAY-128</t>
  </si>
  <si>
    <t>14/4/2026</t>
  </si>
  <si>
    <t>28/3/2026</t>
  </si>
  <si>
    <t>AAAT-87</t>
  </si>
  <si>
    <t>જય સુંધામાતાજી</t>
  </si>
  <si>
    <t>AAQ-39</t>
  </si>
  <si>
    <t>જય વેજનાથ</t>
  </si>
  <si>
    <t>AAAAAQ-132</t>
  </si>
  <si>
    <t>જય સત્યનારાયણ</t>
  </si>
  <si>
    <t>AAAAM-116</t>
  </si>
  <si>
    <t>જય કેદારનાથ</t>
  </si>
  <si>
    <t>AAT-72</t>
  </si>
  <si>
    <t>G-7</t>
  </si>
  <si>
    <t>જય ૐ કાલેસ્વર</t>
  </si>
  <si>
    <t>AAAAAA-131</t>
  </si>
  <si>
    <t>AAD-66</t>
  </si>
  <si>
    <t>જય ગંગા સાગર</t>
  </si>
  <si>
    <t>AAB-54</t>
  </si>
  <si>
    <t>AAV-73</t>
  </si>
  <si>
    <t>19/2/2026</t>
  </si>
  <si>
    <t>19/3/2026</t>
  </si>
  <si>
    <t>19/4/2026</t>
  </si>
  <si>
    <t>14/4/26</t>
  </si>
  <si>
    <t>ટોટલ રકમ\</t>
  </si>
  <si>
    <t>ભાવિન  ભાઈ ભરવાડ</t>
  </si>
  <si>
    <t>રવિ ભાઈ દરબાર</t>
  </si>
  <si>
    <t>જય રામેશ્વર</t>
  </si>
  <si>
    <t>જય ભૈરવદાદા</t>
  </si>
  <si>
    <t>AAC-55</t>
  </si>
  <si>
    <t>AZ-52</t>
  </si>
  <si>
    <t>24/11/2025</t>
  </si>
  <si>
    <t>જય સુરાપુરા</t>
  </si>
  <si>
    <t>AK-37</t>
  </si>
  <si>
    <t>જય દ્વારકાધીશ</t>
  </si>
  <si>
    <t>Q-17</t>
  </si>
  <si>
    <t>ટેન્કર.9</t>
  </si>
  <si>
    <t>જય શ્રી ચંદ્રદેવ</t>
  </si>
  <si>
    <t>ટેન્કર.10</t>
  </si>
  <si>
    <t>જય આશાપૂરા માં</t>
  </si>
  <si>
    <t>H-8</t>
  </si>
  <si>
    <t>19/5/2026</t>
  </si>
  <si>
    <t>16/5/2026</t>
  </si>
  <si>
    <t>14/5/2026</t>
  </si>
  <si>
    <t>અફજલભાઈ</t>
  </si>
  <si>
    <t>શ્રી ગજાનંદ</t>
  </si>
  <si>
    <t>AAAR-96</t>
  </si>
  <si>
    <t>૨૮/૨/૨૬</t>
  </si>
  <si>
    <t>૨૭/૧/૨૬</t>
  </si>
  <si>
    <t>૨૮/૧/૨૬</t>
  </si>
  <si>
    <t>૧૫/૩/૨૬</t>
  </si>
  <si>
    <t>જય સુદર્શન ચક્ર</t>
  </si>
  <si>
    <t>AAAAT-123</t>
  </si>
  <si>
    <t>24/5/2026</t>
  </si>
  <si>
    <t>17/5/2026</t>
  </si>
  <si>
    <t>પ્રવીણ ભાઈ ભરવાડ</t>
  </si>
  <si>
    <t>પિતૃ દેવ નમઃ</t>
  </si>
  <si>
    <t>જય શ્રી મેલડી માં</t>
  </si>
  <si>
    <t>D-4</t>
  </si>
  <si>
    <t>27/5/2026</t>
  </si>
  <si>
    <t>22/5/2026</t>
  </si>
  <si>
    <t>29/5/2026</t>
  </si>
  <si>
    <t>જય નરનારાયણ</t>
  </si>
  <si>
    <t>25/5/2026</t>
  </si>
  <si>
    <t>15/5/2026</t>
  </si>
  <si>
    <t>23/5/2026</t>
  </si>
  <si>
    <t>14/5/26</t>
  </si>
  <si>
    <t>29/5/26</t>
  </si>
  <si>
    <t>વિનુ ભાઈ બદીયાભાઈ</t>
  </si>
  <si>
    <t>જય ભૂરખિયા હનુમાન</t>
  </si>
  <si>
    <t>શ્રી ઝંડહનુમાન દાદા</t>
  </si>
  <si>
    <t>AAAQ-95</t>
  </si>
  <si>
    <t>જય લક્ષ્મી નારાયણ</t>
  </si>
  <si>
    <t>AAAAR-120</t>
  </si>
  <si>
    <t>24/4/26</t>
  </si>
  <si>
    <t>26/5/2026</t>
  </si>
  <si>
    <t>18/5/2026</t>
  </si>
  <si>
    <t>20/5/2026</t>
  </si>
  <si>
    <t>29/4/26</t>
  </si>
  <si>
    <t>જય રણછોડ રાય</t>
  </si>
  <si>
    <t>AX-50</t>
  </si>
  <si>
    <t>15/6/2026</t>
  </si>
  <si>
    <t>જય બાબા અમરનાથ</t>
  </si>
  <si>
    <t>AAAM-91</t>
  </si>
  <si>
    <t>રાપર ના ચંડી ચામુંડા</t>
  </si>
  <si>
    <t>16/6/2026</t>
  </si>
  <si>
    <t>જય લવ કુશ</t>
  </si>
  <si>
    <t>AAAAAH-138</t>
  </si>
  <si>
    <t>23/6/2026</t>
  </si>
  <si>
    <t>19/4/26</t>
  </si>
  <si>
    <t>જય કુળદેવી</t>
  </si>
  <si>
    <t>M-13</t>
  </si>
  <si>
    <t>શ્રી પ્રમુખ સ્વામિ</t>
  </si>
  <si>
    <t>AAAD-82</t>
  </si>
  <si>
    <t>14/6/2026</t>
  </si>
  <si>
    <t>જય જગનાથ</t>
  </si>
  <si>
    <t>AAAAN-117</t>
  </si>
  <si>
    <t>જય બ્રાહમણિ માં</t>
  </si>
  <si>
    <t>AAAZ-104</t>
  </si>
  <si>
    <t>જયશ્રી ચાવન કૃપા</t>
  </si>
  <si>
    <t>AAL-64</t>
  </si>
  <si>
    <t>જય હરિદ્વાર</t>
  </si>
  <si>
    <t>AAX-76</t>
  </si>
  <si>
    <t>30/11/2025</t>
  </si>
  <si>
    <t>30/12/2025</t>
  </si>
  <si>
    <t>30/1/2026</t>
  </si>
  <si>
    <t>30/2/2026</t>
  </si>
  <si>
    <t>30/3/2026</t>
  </si>
  <si>
    <t>30/4/2026</t>
  </si>
  <si>
    <t>30/5/2026</t>
  </si>
  <si>
    <t>રતનભાઈ સિંહ પરમાર</t>
  </si>
  <si>
    <t>13/3/26</t>
  </si>
  <si>
    <t>૨૫/૫/૨૦૨૬</t>
  </si>
  <si>
    <t>૨૧/૫/૨૦૨૬</t>
  </si>
  <si>
    <t>૨૩/૫/૨૦૨૬</t>
  </si>
  <si>
    <t>૨૭/૫/૨૦૨૬</t>
  </si>
  <si>
    <t>જયંતીભાઈ ONGC</t>
  </si>
  <si>
    <t>જય શ્રી લક્ષ્મણ</t>
  </si>
  <si>
    <t>AAAK-89</t>
  </si>
  <si>
    <t>30/11/25</t>
  </si>
  <si>
    <t>30/12/25</t>
  </si>
  <si>
    <t>30/1/26</t>
  </si>
  <si>
    <t>જય શનિ દેવ</t>
  </si>
  <si>
    <t>AO-41</t>
  </si>
  <si>
    <t>30/2/26</t>
  </si>
  <si>
    <t>30/3/26</t>
  </si>
  <si>
    <t>30/4/26</t>
  </si>
  <si>
    <t>30/5/26</t>
  </si>
  <si>
    <t>જય સિકોતર માં</t>
  </si>
  <si>
    <t>B-2</t>
  </si>
  <si>
    <t>પ્રતાપ વાધેલા</t>
  </si>
  <si>
    <t>જય ભવાની</t>
  </si>
  <si>
    <t>AAN-65</t>
  </si>
  <si>
    <t>જય  મોગલ માં</t>
  </si>
  <si>
    <t>સાઇટ</t>
  </si>
  <si>
    <t>આંકાલવ</t>
  </si>
  <si>
    <t>ઓળ</t>
  </si>
  <si>
    <t>ખર્ચો</t>
  </si>
  <si>
    <t>જય શ્રી વાસુદેવ</t>
  </si>
  <si>
    <t>AAAAU-124</t>
  </si>
  <si>
    <t>GI07U5263</t>
  </si>
  <si>
    <t>a</t>
  </si>
  <si>
    <t>14/6/2025</t>
  </si>
  <si>
    <t>26/6/2026</t>
  </si>
  <si>
    <t>20/6/2026</t>
  </si>
  <si>
    <t>25/6/2026</t>
  </si>
  <si>
    <t>22/6/2026</t>
  </si>
  <si>
    <t>25 ફેરા   ભાવ:100</t>
  </si>
  <si>
    <t>પાણી ફેરા (7 ફેરા)</t>
  </si>
  <si>
    <t>6/4/26(ફાઇટર મશીન)</t>
  </si>
  <si>
    <t>30/6/2026</t>
  </si>
  <si>
    <t>ટેન્કર ગોબા</t>
  </si>
  <si>
    <t>વોશિંગ\કોક નિપલ</t>
  </si>
  <si>
    <t>નટબોલ</t>
  </si>
  <si>
    <t>24/6/2026</t>
  </si>
  <si>
    <t>29/6/2026</t>
  </si>
  <si>
    <t>27/6/2026</t>
  </si>
  <si>
    <t>…</t>
  </si>
  <si>
    <t>21/6/2026</t>
  </si>
  <si>
    <t>સિમેન્ટ</t>
  </si>
  <si>
    <t>વેલડિંગ</t>
  </si>
  <si>
    <t>26/5/26</t>
  </si>
  <si>
    <t>19/6/2026</t>
  </si>
  <si>
    <t>17/6/2026</t>
  </si>
  <si>
    <t>29/7/2026</t>
  </si>
  <si>
    <t>14/7/2026</t>
  </si>
  <si>
    <t>17/5/26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</si>
</sst>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000]mm/dd/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Agency FB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0" fontId="0" fillId="2" borderId="0" xfId="0" applyFill="1"/>
    <xf numFmtId="0" fontId="4" fillId="0" borderId="1" xfId="0" applyFont="1" applyBorder="1"/>
    <xf numFmtId="0" fontId="4" fillId="0" borderId="0" xfId="0" applyFont="1"/>
    <xf numFmtId="164" fontId="0" fillId="0" borderId="0" xfId="0" applyNumberFormat="1"/>
    <xf numFmtId="164" fontId="4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164" fontId="4" fillId="0" borderId="1" xfId="0" applyNumberFormat="1" applyFont="1" applyBorder="1"/>
    <xf numFmtId="0" fontId="6" fillId="0" borderId="0" xfId="0" applyFont="1" applyAlignment="1">
      <alignment horizontal="center"/>
    </xf>
    <xf numFmtId="0" fontId="4" fillId="0" borderId="4" xfId="0" applyFont="1" applyBorder="1"/>
    <xf numFmtId="0" fontId="4" fillId="0" borderId="3" xfId="0" applyFont="1" applyBorder="1"/>
    <xf numFmtId="0" fontId="4" fillId="0" borderId="0" xfId="0" applyFont="1" applyAlignment="1">
      <alignment horizontal="center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0" fillId="3" borderId="1" xfId="0" applyFill="1" applyBorder="1"/>
    <xf numFmtId="0" fontId="5" fillId="0" borderId="0" xfId="0" applyFont="1" applyAlignment="1">
      <alignment vertical="center"/>
    </xf>
    <xf numFmtId="0" fontId="0" fillId="0" borderId="5" xfId="0" applyBorder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sqref="A1:F19"/>
    </sheetView>
  </sheetViews>
  <sheetFormatPr defaultRowHeight="14.5" x14ac:dyDescent="0.35"/>
  <cols>
    <col min="2" max="2" width="19.7265625" style="1" customWidth="1"/>
  </cols>
  <sheetData>
    <row r="1" spans="1:6" x14ac:dyDescent="0.35">
      <c r="A1" s="36" t="s">
        <v>0</v>
      </c>
      <c r="B1" s="36"/>
      <c r="C1" s="36"/>
      <c r="D1" s="36"/>
      <c r="E1" s="36"/>
      <c r="F1" s="36"/>
    </row>
    <row r="2" spans="1:6" x14ac:dyDescent="0.35">
      <c r="A2" s="36"/>
      <c r="B2" s="36"/>
      <c r="C2" s="36"/>
      <c r="D2" s="36"/>
      <c r="E2" s="36"/>
      <c r="F2" s="36"/>
    </row>
    <row r="3" spans="1:6" x14ac:dyDescent="0.35">
      <c r="A3" s="36"/>
      <c r="B3" s="36"/>
      <c r="C3" s="36"/>
      <c r="D3" s="36"/>
      <c r="E3" s="36"/>
      <c r="F3" s="36"/>
    </row>
    <row r="4" spans="1:6" x14ac:dyDescent="0.35">
      <c r="A4" s="36"/>
      <c r="B4" s="36"/>
      <c r="C4" s="36"/>
      <c r="D4" s="36"/>
      <c r="E4" s="36"/>
      <c r="F4" s="36"/>
    </row>
    <row r="5" spans="1:6" x14ac:dyDescent="0.35">
      <c r="A5" s="37" t="s">
        <v>1</v>
      </c>
      <c r="B5" s="37"/>
      <c r="C5" s="37"/>
      <c r="D5" s="37"/>
      <c r="E5" s="37"/>
      <c r="F5" s="37"/>
    </row>
    <row r="6" spans="1:6" x14ac:dyDescent="0.35">
      <c r="A6" s="37"/>
      <c r="B6" s="37"/>
      <c r="C6" s="37"/>
      <c r="D6" s="37"/>
      <c r="E6" s="37"/>
      <c r="F6" s="37"/>
    </row>
    <row r="7" spans="1:6" x14ac:dyDescent="0.35">
      <c r="A7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</row>
    <row r="8" spans="1:6" x14ac:dyDescent="0.35">
      <c r="B8" s="3">
        <v>45698</v>
      </c>
      <c r="D8">
        <v>8</v>
      </c>
      <c r="E8">
        <v>4000</v>
      </c>
      <c r="F8">
        <f>E8*D8</f>
        <v>32000</v>
      </c>
    </row>
    <row r="9" spans="1:6" x14ac:dyDescent="0.35">
      <c r="B9" s="3">
        <v>45699</v>
      </c>
    </row>
    <row r="10" spans="1:6" x14ac:dyDescent="0.35">
      <c r="B10" s="3">
        <v>45700</v>
      </c>
    </row>
    <row r="11" spans="1:6" x14ac:dyDescent="0.35">
      <c r="B11" s="3">
        <v>46054</v>
      </c>
    </row>
    <row r="12" spans="1:6" x14ac:dyDescent="0.35">
      <c r="B12" s="3">
        <v>46055</v>
      </c>
    </row>
    <row r="13" spans="1:6" x14ac:dyDescent="0.35">
      <c r="B13" s="3">
        <v>46056</v>
      </c>
    </row>
    <row r="14" spans="1:6" x14ac:dyDescent="0.35">
      <c r="B14" s="3">
        <v>46057</v>
      </c>
    </row>
    <row r="15" spans="1:6" x14ac:dyDescent="0.35">
      <c r="B15" s="3">
        <v>46058</v>
      </c>
    </row>
    <row r="16" spans="1:6" x14ac:dyDescent="0.35">
      <c r="B16" s="3">
        <v>46059</v>
      </c>
    </row>
    <row r="19" spans="5:6" x14ac:dyDescent="0.35">
      <c r="E19" s="12" t="s">
        <v>7</v>
      </c>
      <c r="F19" s="12">
        <f>SUM(F8:F18)</f>
        <v>32000</v>
      </c>
    </row>
  </sheetData>
  <mergeCells count="2">
    <mergeCell ref="A1:F4"/>
    <mergeCell ref="A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EE81-14A5-4518-B4C7-7799EFF0BFFD}">
  <dimension ref="A1:S53"/>
  <sheetViews>
    <sheetView topLeftCell="A31" workbookViewId="0">
      <selection sqref="A1:F50"/>
    </sheetView>
  </sheetViews>
  <sheetFormatPr defaultRowHeight="14.5" x14ac:dyDescent="0.35"/>
  <cols>
    <col min="2" max="2" width="21.90625" customWidth="1"/>
    <col min="3" max="6" width="8.81640625" bestFit="1" customWidth="1"/>
    <col min="18" max="18" width="10.26953125" bestFit="1" customWidth="1"/>
    <col min="19" max="19" width="8.81640625" bestFit="1" customWidth="1"/>
  </cols>
  <sheetData>
    <row r="1" spans="1:6" x14ac:dyDescent="0.35">
      <c r="A1" s="34" t="s">
        <v>0</v>
      </c>
      <c r="B1" s="34"/>
      <c r="C1" s="34"/>
      <c r="D1" s="34"/>
      <c r="E1" s="34"/>
      <c r="F1" s="1"/>
    </row>
    <row r="2" spans="1:6" x14ac:dyDescent="0.35">
      <c r="A2" s="34"/>
      <c r="B2" s="34"/>
      <c r="C2" s="34"/>
      <c r="D2" s="34"/>
      <c r="E2" s="34"/>
      <c r="F2" s="1"/>
    </row>
    <row r="3" spans="1:6" x14ac:dyDescent="0.35">
      <c r="A3" s="34"/>
      <c r="B3" s="34"/>
      <c r="C3" s="34"/>
      <c r="D3" s="34"/>
      <c r="E3" s="34"/>
      <c r="F3" s="1"/>
    </row>
    <row r="4" spans="1:6" x14ac:dyDescent="0.35">
      <c r="A4" s="34"/>
      <c r="B4" s="34"/>
      <c r="C4" s="34"/>
      <c r="D4" s="34"/>
      <c r="E4" s="34"/>
      <c r="F4" s="1"/>
    </row>
    <row r="5" spans="1:6" x14ac:dyDescent="0.35">
      <c r="A5" s="35" t="s">
        <v>8</v>
      </c>
      <c r="B5" s="35"/>
      <c r="C5" s="35"/>
      <c r="D5" s="35"/>
      <c r="E5" s="35"/>
      <c r="F5" s="1"/>
    </row>
    <row r="6" spans="1:6" x14ac:dyDescent="0.35">
      <c r="A6" s="35"/>
      <c r="B6" s="35"/>
      <c r="C6" s="35"/>
      <c r="D6" s="35"/>
      <c r="E6" s="35"/>
      <c r="F6" s="1"/>
    </row>
    <row r="7" spans="1:6" x14ac:dyDescent="0.35">
      <c r="A7" s="1"/>
      <c r="B7" s="1"/>
      <c r="C7" s="1"/>
      <c r="D7" s="1"/>
      <c r="E7" s="1"/>
      <c r="F7" s="1"/>
    </row>
    <row r="8" spans="1:6" x14ac:dyDescent="0.35">
      <c r="A8" s="1" t="s">
        <v>2</v>
      </c>
      <c r="B8" s="1" t="s">
        <v>9</v>
      </c>
      <c r="C8" s="1" t="s">
        <v>10</v>
      </c>
      <c r="D8" s="1" t="s">
        <v>5</v>
      </c>
      <c r="E8" s="1" t="s">
        <v>6</v>
      </c>
      <c r="F8" s="1" t="s">
        <v>7</v>
      </c>
    </row>
    <row r="9" spans="1:6" x14ac:dyDescent="0.35">
      <c r="A9" s="1"/>
      <c r="B9" s="1" t="s">
        <v>11</v>
      </c>
      <c r="C9" s="1"/>
      <c r="D9" s="1">
        <v>9</v>
      </c>
      <c r="E9" s="1">
        <v>4000</v>
      </c>
      <c r="F9" s="1">
        <f>E9*D9</f>
        <v>36000</v>
      </c>
    </row>
    <row r="10" spans="1:6" x14ac:dyDescent="0.35">
      <c r="A10" s="1"/>
      <c r="B10" s="1" t="s">
        <v>25</v>
      </c>
      <c r="C10" s="1"/>
      <c r="D10" s="1"/>
      <c r="E10" s="1"/>
      <c r="F10" s="1"/>
    </row>
    <row r="11" spans="1:6" x14ac:dyDescent="0.35">
      <c r="A11" s="1"/>
      <c r="B11" s="1" t="s">
        <v>93</v>
      </c>
      <c r="C11" s="1"/>
      <c r="D11" s="1"/>
      <c r="E11" s="1"/>
      <c r="F11" s="1"/>
    </row>
    <row r="12" spans="1:6" x14ac:dyDescent="0.35">
      <c r="A12" s="1"/>
      <c r="B12" s="1" t="s">
        <v>94</v>
      </c>
      <c r="C12" s="1"/>
      <c r="D12" s="1"/>
      <c r="E12" s="1"/>
      <c r="F12" s="1"/>
    </row>
    <row r="13" spans="1:6" x14ac:dyDescent="0.35">
      <c r="A13" s="1"/>
      <c r="B13" s="1" t="s">
        <v>95</v>
      </c>
      <c r="C13" s="1"/>
      <c r="D13" s="1" t="s">
        <v>12</v>
      </c>
      <c r="E13" s="1"/>
      <c r="F13" s="1"/>
    </row>
    <row r="14" spans="1:6" x14ac:dyDescent="0.35">
      <c r="A14" s="1"/>
      <c r="B14" s="1" t="s">
        <v>96</v>
      </c>
      <c r="C14" s="1"/>
      <c r="D14" s="1"/>
      <c r="E14" s="1"/>
      <c r="F14" s="1"/>
    </row>
    <row r="15" spans="1:6" x14ac:dyDescent="0.35">
      <c r="A15" s="1"/>
      <c r="B15" s="3" t="s">
        <v>245</v>
      </c>
      <c r="C15" s="1"/>
      <c r="D15" s="1"/>
      <c r="E15" s="1"/>
      <c r="F15" s="1"/>
    </row>
    <row r="16" spans="1:6" x14ac:dyDescent="0.35">
      <c r="A16" s="1"/>
      <c r="B16" s="3" t="s">
        <v>352</v>
      </c>
      <c r="C16" s="1"/>
      <c r="D16" s="1"/>
      <c r="E16" s="1"/>
      <c r="F16" s="1"/>
    </row>
    <row r="17" spans="1:6" x14ac:dyDescent="0.35">
      <c r="A17" s="1"/>
      <c r="B17" s="3" t="s">
        <v>393</v>
      </c>
      <c r="C17" s="1"/>
      <c r="D17" s="1"/>
      <c r="E17" s="1"/>
      <c r="F17" s="1"/>
    </row>
    <row r="18" spans="1:6" x14ac:dyDescent="0.35">
      <c r="A18" s="1"/>
      <c r="B18" s="1" t="s">
        <v>508</v>
      </c>
      <c r="C18" s="1"/>
      <c r="D18" s="1"/>
      <c r="E18" s="1"/>
      <c r="F18" s="1"/>
    </row>
    <row r="19" spans="1:6" x14ac:dyDescent="0.35">
      <c r="A19" s="1"/>
      <c r="B19" s="1" t="s">
        <v>244</v>
      </c>
      <c r="C19" s="1"/>
      <c r="D19" s="1"/>
      <c r="E19" s="1"/>
      <c r="F19" s="1"/>
    </row>
    <row r="20" spans="1:6" x14ac:dyDescent="0.35">
      <c r="A20" s="1"/>
      <c r="B20" s="1"/>
      <c r="C20" s="1"/>
      <c r="D20" s="1"/>
      <c r="E20" s="1"/>
      <c r="F20" s="1"/>
    </row>
    <row r="21" spans="1:6" x14ac:dyDescent="0.35">
      <c r="A21" s="1"/>
      <c r="B21" s="1"/>
      <c r="C21" s="1"/>
      <c r="D21" s="1"/>
      <c r="E21" s="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1"/>
      <c r="B23" s="1"/>
      <c r="C23" s="1"/>
      <c r="D23" s="1"/>
      <c r="E23" s="1"/>
      <c r="F23" s="1"/>
    </row>
    <row r="24" spans="1:6" x14ac:dyDescent="0.35">
      <c r="A24" s="1"/>
      <c r="B24" s="1"/>
      <c r="C24" s="1"/>
      <c r="D24" s="1"/>
      <c r="E24" s="1"/>
      <c r="F24" s="1"/>
    </row>
    <row r="25" spans="1:6" x14ac:dyDescent="0.35">
      <c r="A25" s="1" t="s">
        <v>13</v>
      </c>
      <c r="B25" s="1" t="s">
        <v>14</v>
      </c>
      <c r="C25" s="1" t="s">
        <v>15</v>
      </c>
      <c r="D25" s="1"/>
      <c r="E25" s="1"/>
      <c r="F25" s="1"/>
    </row>
    <row r="26" spans="1:6" x14ac:dyDescent="0.35">
      <c r="A26" s="1"/>
      <c r="B26" s="1" t="s">
        <v>16</v>
      </c>
      <c r="C26" s="1"/>
      <c r="D26" s="1">
        <v>9</v>
      </c>
      <c r="E26" s="1">
        <v>4000</v>
      </c>
      <c r="F26" s="1">
        <f>E26*D26</f>
        <v>36000</v>
      </c>
    </row>
    <row r="27" spans="1:6" x14ac:dyDescent="0.35">
      <c r="A27" s="1"/>
      <c r="B27" s="1" t="s">
        <v>83</v>
      </c>
      <c r="C27" s="1"/>
      <c r="D27" s="1"/>
      <c r="E27" s="1"/>
      <c r="F27" s="1"/>
    </row>
    <row r="28" spans="1:6" x14ac:dyDescent="0.35">
      <c r="A28" s="1"/>
      <c r="B28" s="1" t="s">
        <v>84</v>
      </c>
      <c r="C28" s="1"/>
      <c r="D28" s="1"/>
      <c r="E28" s="1"/>
      <c r="F28" s="1"/>
    </row>
    <row r="29" spans="1:6" x14ac:dyDescent="0.35">
      <c r="A29" s="1"/>
      <c r="B29" s="1" t="s">
        <v>38</v>
      </c>
      <c r="C29" s="1"/>
      <c r="D29" s="1"/>
      <c r="E29" s="1"/>
      <c r="F29" s="1"/>
    </row>
    <row r="30" spans="1:6" x14ac:dyDescent="0.35">
      <c r="A30" s="1"/>
      <c r="B30" s="1" t="s">
        <v>39</v>
      </c>
      <c r="C30" s="1"/>
      <c r="D30" s="1"/>
      <c r="E30" s="1"/>
      <c r="F30" s="1"/>
    </row>
    <row r="31" spans="1:6" x14ac:dyDescent="0.35">
      <c r="A31" s="1"/>
      <c r="B31" s="1" t="s">
        <v>97</v>
      </c>
      <c r="C31" s="1"/>
      <c r="D31" s="1"/>
      <c r="E31" s="1"/>
      <c r="F31" s="1"/>
    </row>
    <row r="32" spans="1:6" x14ac:dyDescent="0.35">
      <c r="A32" s="1"/>
      <c r="B32" s="3" t="s">
        <v>242</v>
      </c>
      <c r="C32" s="1"/>
      <c r="D32" s="1"/>
      <c r="E32" s="1"/>
      <c r="F32" s="1"/>
    </row>
    <row r="33" spans="1:19" x14ac:dyDescent="0.35">
      <c r="A33" s="1"/>
      <c r="B33" s="3" t="s">
        <v>351</v>
      </c>
      <c r="C33" s="1"/>
      <c r="D33" s="1"/>
      <c r="E33" s="1"/>
      <c r="F33" s="1"/>
    </row>
    <row r="34" spans="1:19" x14ac:dyDescent="0.35">
      <c r="A34" s="1"/>
      <c r="B34" s="1" t="s">
        <v>394</v>
      </c>
      <c r="C34" s="1"/>
      <c r="D34" s="1"/>
      <c r="E34" s="1"/>
      <c r="F34" s="1"/>
    </row>
    <row r="35" spans="1:19" x14ac:dyDescent="0.35">
      <c r="A35" s="1"/>
      <c r="B35" s="1" t="s">
        <v>507</v>
      </c>
      <c r="C35" s="1"/>
      <c r="D35" s="1"/>
      <c r="E35" s="4" t="s">
        <v>7</v>
      </c>
      <c r="F35" s="5">
        <f>SUM(F9:F34)</f>
        <v>72000</v>
      </c>
    </row>
    <row r="36" spans="1:19" x14ac:dyDescent="0.35">
      <c r="A36" s="1"/>
      <c r="B36" s="1" t="s">
        <v>575</v>
      </c>
      <c r="C36" s="1"/>
      <c r="D36" s="1"/>
      <c r="E36" s="6" t="s">
        <v>17</v>
      </c>
      <c r="F36" s="7">
        <v>48900</v>
      </c>
      <c r="R36" s="6" t="s">
        <v>17</v>
      </c>
      <c r="S36" s="6" t="s">
        <v>6</v>
      </c>
    </row>
    <row r="37" spans="1:19" x14ac:dyDescent="0.35">
      <c r="A37" s="1"/>
      <c r="B37" s="1"/>
      <c r="C37" s="1"/>
      <c r="D37" s="1"/>
      <c r="E37" s="4" t="s">
        <v>19</v>
      </c>
      <c r="F37" s="5">
        <f>F35-F36</f>
        <v>23100</v>
      </c>
      <c r="R37" s="6" t="s">
        <v>21</v>
      </c>
      <c r="S37" s="6">
        <v>3500</v>
      </c>
    </row>
    <row r="38" spans="1:19" x14ac:dyDescent="0.35">
      <c r="A38" s="1"/>
      <c r="B38" s="1"/>
      <c r="C38" s="1"/>
      <c r="D38" s="1"/>
      <c r="E38" s="1"/>
      <c r="F38" s="1"/>
      <c r="R38" s="6" t="s">
        <v>22</v>
      </c>
      <c r="S38" s="6">
        <v>3500</v>
      </c>
    </row>
    <row r="39" spans="1:19" x14ac:dyDescent="0.35">
      <c r="A39" s="1"/>
      <c r="B39" s="1"/>
      <c r="C39" s="1"/>
      <c r="D39" s="1"/>
      <c r="E39" s="1"/>
      <c r="F39" s="1"/>
      <c r="R39" s="8" t="s">
        <v>23</v>
      </c>
      <c r="S39" s="6">
        <v>17500</v>
      </c>
    </row>
    <row r="40" spans="1:19" x14ac:dyDescent="0.35">
      <c r="A40" s="1"/>
      <c r="B40" s="1"/>
      <c r="C40" s="1"/>
      <c r="D40" s="1"/>
      <c r="E40" s="1"/>
      <c r="F40" s="1"/>
      <c r="R40" s="8">
        <v>45936</v>
      </c>
      <c r="S40" s="6">
        <v>24500</v>
      </c>
    </row>
    <row r="41" spans="1:19" x14ac:dyDescent="0.35">
      <c r="A41" s="1"/>
      <c r="B41" s="1"/>
      <c r="C41" s="1"/>
      <c r="D41" s="1"/>
      <c r="E41" s="1"/>
      <c r="F41" s="1"/>
      <c r="R41" s="8" t="s">
        <v>24</v>
      </c>
      <c r="S41" s="9">
        <v>19500</v>
      </c>
    </row>
    <row r="42" spans="1:19" x14ac:dyDescent="0.35">
      <c r="A42" s="1"/>
      <c r="B42" s="6" t="s">
        <v>17</v>
      </c>
      <c r="C42" s="6" t="s">
        <v>6</v>
      </c>
      <c r="D42" s="1"/>
      <c r="E42" s="1"/>
      <c r="F42" s="1"/>
      <c r="R42" s="4" t="s">
        <v>7</v>
      </c>
      <c r="S42" s="4">
        <f>SUM(S37:S41)</f>
        <v>68500</v>
      </c>
    </row>
    <row r="43" spans="1:19" x14ac:dyDescent="0.35">
      <c r="A43" s="1"/>
      <c r="B43" s="8">
        <v>46113</v>
      </c>
      <c r="C43" s="6">
        <v>24000</v>
      </c>
      <c r="D43" s="1"/>
      <c r="E43" s="1"/>
      <c r="F43" s="1"/>
    </row>
    <row r="44" spans="1:19" x14ac:dyDescent="0.35">
      <c r="A44" s="1"/>
      <c r="B44" s="6" t="s">
        <v>506</v>
      </c>
      <c r="C44" s="6">
        <v>24900</v>
      </c>
      <c r="D44" s="1"/>
      <c r="E44" s="1"/>
      <c r="F44" s="1"/>
    </row>
    <row r="45" spans="1:19" x14ac:dyDescent="0.35">
      <c r="A45" s="1"/>
      <c r="B45" s="8"/>
      <c r="C45" s="6"/>
      <c r="D45" s="1"/>
      <c r="E45" s="1"/>
      <c r="F45" s="1"/>
    </row>
    <row r="46" spans="1:19" x14ac:dyDescent="0.35">
      <c r="A46" s="1"/>
      <c r="B46" s="8"/>
      <c r="C46" s="6"/>
      <c r="D46" s="1"/>
      <c r="E46" s="1"/>
      <c r="F46" s="1"/>
    </row>
    <row r="47" spans="1:19" x14ac:dyDescent="0.35">
      <c r="A47" s="1"/>
      <c r="B47" s="8"/>
      <c r="C47" s="9"/>
      <c r="D47" s="1"/>
      <c r="E47" s="1"/>
      <c r="F47" s="1"/>
    </row>
    <row r="48" spans="1:19" x14ac:dyDescent="0.35">
      <c r="A48" s="1"/>
      <c r="B48" s="4" t="s">
        <v>7</v>
      </c>
      <c r="C48" s="4">
        <f>SUM(C43:C47)</f>
        <v>48900</v>
      </c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1"/>
      <c r="B52" s="1"/>
      <c r="C52" s="1"/>
      <c r="D52" s="1"/>
      <c r="E52" s="1"/>
      <c r="F52" s="1"/>
    </row>
    <row r="53" spans="1:6" x14ac:dyDescent="0.35">
      <c r="A53" s="1"/>
      <c r="B53" s="1"/>
      <c r="C53" s="1"/>
      <c r="D53" s="1"/>
      <c r="E53" s="1"/>
      <c r="F53" s="1"/>
    </row>
  </sheetData>
  <mergeCells count="2">
    <mergeCell ref="A1:E4"/>
    <mergeCell ref="A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2BFF-45BB-4610-83B5-AC33A2793DDD}">
  <dimension ref="A1:F56"/>
  <sheetViews>
    <sheetView workbookViewId="0">
      <selection sqref="A1:G58"/>
    </sheetView>
  </sheetViews>
  <sheetFormatPr defaultRowHeight="14.5" x14ac:dyDescent="0.35"/>
  <cols>
    <col min="1" max="1" width="10.453125" bestFit="1" customWidth="1"/>
    <col min="2" max="2" width="23.453125" style="1" customWidth="1"/>
    <col min="4" max="4" width="8.7265625" style="1"/>
    <col min="5" max="5" width="11.2695312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26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s="1" t="s">
        <v>2</v>
      </c>
      <c r="B7" s="1" t="s">
        <v>27</v>
      </c>
      <c r="C7" s="1" t="s">
        <v>28</v>
      </c>
      <c r="D7" s="1" t="s">
        <v>5</v>
      </c>
      <c r="E7" s="1" t="s">
        <v>6</v>
      </c>
      <c r="F7" s="1" t="s">
        <v>7</v>
      </c>
    </row>
    <row r="8" spans="1:6" x14ac:dyDescent="0.35">
      <c r="B8" s="23" t="s">
        <v>83</v>
      </c>
      <c r="D8" s="7">
        <v>5</v>
      </c>
      <c r="E8">
        <v>4000</v>
      </c>
      <c r="F8">
        <f>E8*D8</f>
        <v>20000</v>
      </c>
    </row>
    <row r="9" spans="1:6" x14ac:dyDescent="0.35">
      <c r="B9" s="1" t="s">
        <v>84</v>
      </c>
    </row>
    <row r="10" spans="1:6" x14ac:dyDescent="0.35">
      <c r="B10" s="1" t="s">
        <v>38</v>
      </c>
    </row>
    <row r="11" spans="1:6" x14ac:dyDescent="0.35">
      <c r="B11" s="1" t="s">
        <v>39</v>
      </c>
      <c r="E11" t="s">
        <v>157</v>
      </c>
      <c r="F11">
        <v>500</v>
      </c>
    </row>
    <row r="12" spans="1:6" x14ac:dyDescent="0.35">
      <c r="A12" s="13" t="s">
        <v>40</v>
      </c>
      <c r="B12" s="1" t="s">
        <v>97</v>
      </c>
      <c r="E12" t="s">
        <v>273</v>
      </c>
      <c r="F12">
        <v>500</v>
      </c>
    </row>
    <row r="13" spans="1:6" x14ac:dyDescent="0.35">
      <c r="A13" t="s">
        <v>244</v>
      </c>
      <c r="B13" s="1" t="s">
        <v>242</v>
      </c>
    </row>
    <row r="20" spans="1:6" x14ac:dyDescent="0.35">
      <c r="A20" t="s">
        <v>30</v>
      </c>
      <c r="B20" s="1" t="s">
        <v>31</v>
      </c>
      <c r="C20" t="s">
        <v>32</v>
      </c>
    </row>
    <row r="21" spans="1:6" x14ac:dyDescent="0.35">
      <c r="B21" s="1" t="s">
        <v>33</v>
      </c>
      <c r="D21" s="7">
        <v>7</v>
      </c>
      <c r="E21">
        <v>4000</v>
      </c>
      <c r="F21">
        <f>E21*D21</f>
        <v>28000</v>
      </c>
    </row>
    <row r="22" spans="1:6" x14ac:dyDescent="0.35">
      <c r="B22" s="1" t="s">
        <v>34</v>
      </c>
    </row>
    <row r="23" spans="1:6" x14ac:dyDescent="0.35">
      <c r="A23" s="13" t="s">
        <v>40</v>
      </c>
      <c r="B23" s="1" t="s">
        <v>92</v>
      </c>
    </row>
    <row r="24" spans="1:6" x14ac:dyDescent="0.35">
      <c r="A24" s="2">
        <v>46179</v>
      </c>
      <c r="B24" s="1" t="s">
        <v>193</v>
      </c>
      <c r="E24" t="s">
        <v>228</v>
      </c>
      <c r="F24">
        <v>2500</v>
      </c>
    </row>
    <row r="25" spans="1:6" x14ac:dyDescent="0.35">
      <c r="B25" s="1" t="s">
        <v>243</v>
      </c>
    </row>
    <row r="26" spans="1:6" x14ac:dyDescent="0.35">
      <c r="B26" s="1" t="s">
        <v>392</v>
      </c>
    </row>
    <row r="27" spans="1:6" x14ac:dyDescent="0.35">
      <c r="B27" s="1" t="s">
        <v>492</v>
      </c>
    </row>
    <row r="28" spans="1:6" x14ac:dyDescent="0.35">
      <c r="B28" s="1" t="s">
        <v>578</v>
      </c>
    </row>
    <row r="31" spans="1:6" x14ac:dyDescent="0.35">
      <c r="A31" t="s">
        <v>35</v>
      </c>
      <c r="B31" s="1" t="s">
        <v>36</v>
      </c>
      <c r="C31" t="s">
        <v>37</v>
      </c>
      <c r="D31" s="7">
        <v>3</v>
      </c>
      <c r="E31">
        <v>4000</v>
      </c>
      <c r="F31">
        <f>E31*D31</f>
        <v>12000</v>
      </c>
    </row>
    <row r="32" spans="1:6" x14ac:dyDescent="0.35">
      <c r="B32" s="1" t="s">
        <v>38</v>
      </c>
    </row>
    <row r="33" spans="1:6" x14ac:dyDescent="0.35">
      <c r="B33" s="1" t="s">
        <v>39</v>
      </c>
    </row>
    <row r="34" spans="1:6" x14ac:dyDescent="0.35">
      <c r="A34" s="13" t="s">
        <v>40</v>
      </c>
      <c r="B34" s="1" t="s">
        <v>97</v>
      </c>
    </row>
    <row r="35" spans="1:6" x14ac:dyDescent="0.35">
      <c r="A35" t="s">
        <v>245</v>
      </c>
      <c r="B35" s="1" t="s">
        <v>242</v>
      </c>
    </row>
    <row r="37" spans="1:6" x14ac:dyDescent="0.35">
      <c r="A37" t="s">
        <v>30</v>
      </c>
      <c r="B37" s="1" t="s">
        <v>121</v>
      </c>
      <c r="C37" t="s">
        <v>122</v>
      </c>
      <c r="D37" s="1">
        <v>2</v>
      </c>
      <c r="E37">
        <v>4000</v>
      </c>
      <c r="F37">
        <f>E37*D37</f>
        <v>8000</v>
      </c>
    </row>
    <row r="38" spans="1:6" x14ac:dyDescent="0.35">
      <c r="B38" s="3">
        <v>46085</v>
      </c>
    </row>
    <row r="39" spans="1:6" x14ac:dyDescent="0.35">
      <c r="B39" s="3">
        <v>46086</v>
      </c>
    </row>
    <row r="40" spans="1:6" x14ac:dyDescent="0.35">
      <c r="B40" s="3">
        <v>46087</v>
      </c>
    </row>
    <row r="45" spans="1:6" x14ac:dyDescent="0.35">
      <c r="E45" s="4" t="s">
        <v>7</v>
      </c>
      <c r="F45" s="5">
        <f>SUM(F8:F44)</f>
        <v>71500</v>
      </c>
    </row>
    <row r="46" spans="1:6" x14ac:dyDescent="0.35">
      <c r="E46" s="6" t="s">
        <v>40</v>
      </c>
      <c r="F46" s="7">
        <v>45000</v>
      </c>
    </row>
    <row r="47" spans="1:6" x14ac:dyDescent="0.35">
      <c r="E47" s="4" t="s">
        <v>19</v>
      </c>
      <c r="F47" s="5">
        <f>F45-F46</f>
        <v>26500</v>
      </c>
    </row>
    <row r="50" spans="2:6" x14ac:dyDescent="0.35">
      <c r="B50" s="6" t="s">
        <v>75</v>
      </c>
      <c r="C50" s="12" t="s">
        <v>6</v>
      </c>
    </row>
    <row r="51" spans="2:6" x14ac:dyDescent="0.35">
      <c r="B51" s="1" t="s">
        <v>18</v>
      </c>
      <c r="C51">
        <v>4000</v>
      </c>
    </row>
    <row r="52" spans="2:6" x14ac:dyDescent="0.35">
      <c r="B52" s="3">
        <v>45881</v>
      </c>
      <c r="C52">
        <v>16000</v>
      </c>
      <c r="E52" s="12" t="s">
        <v>228</v>
      </c>
      <c r="F52" s="12" t="s">
        <v>6</v>
      </c>
    </row>
    <row r="53" spans="2:6" x14ac:dyDescent="0.35">
      <c r="B53" s="3">
        <v>46266</v>
      </c>
      <c r="C53">
        <v>8000</v>
      </c>
      <c r="E53" s="12" t="s">
        <v>591</v>
      </c>
      <c r="F53" s="12">
        <v>1500</v>
      </c>
    </row>
    <row r="54" spans="2:6" x14ac:dyDescent="0.35">
      <c r="B54" s="3">
        <v>46176</v>
      </c>
      <c r="C54">
        <v>8000</v>
      </c>
      <c r="E54" s="12" t="s">
        <v>157</v>
      </c>
      <c r="F54" s="12">
        <v>500</v>
      </c>
    </row>
    <row r="55" spans="2:6" ht="15.5" customHeight="1" x14ac:dyDescent="0.35">
      <c r="B55" s="3" t="s">
        <v>543</v>
      </c>
      <c r="C55">
        <v>9000</v>
      </c>
      <c r="E55" s="12" t="s">
        <v>592</v>
      </c>
      <c r="F55" s="12">
        <v>500</v>
      </c>
    </row>
    <row r="56" spans="2:6" x14ac:dyDescent="0.35">
      <c r="B56" s="4" t="s">
        <v>99</v>
      </c>
      <c r="C56" s="14">
        <f>SUM(C51:C55)</f>
        <v>45000</v>
      </c>
      <c r="E56" s="12" t="s">
        <v>87</v>
      </c>
      <c r="F56" s="12">
        <f>SUM(F53:F55)</f>
        <v>2500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4C2D-40F6-4303-BE98-14AB122E2E2A}">
  <dimension ref="A1:F80"/>
  <sheetViews>
    <sheetView zoomScale="106" zoomScaleNormal="106" workbookViewId="0">
      <selection sqref="A1:G81"/>
    </sheetView>
  </sheetViews>
  <sheetFormatPr defaultRowHeight="14.5" x14ac:dyDescent="0.35"/>
  <cols>
    <col min="2" max="2" width="19.90625" style="1" customWidth="1"/>
    <col min="3" max="3" width="10.26953125" customWidth="1"/>
    <col min="4" max="6" width="8.7265625" style="1"/>
  </cols>
  <sheetData>
    <row r="1" spans="1:6" ht="15.5" customHeight="1" x14ac:dyDescent="0.35">
      <c r="A1" s="34" t="s">
        <v>0</v>
      </c>
      <c r="B1" s="34"/>
      <c r="C1" s="34"/>
      <c r="D1" s="34"/>
      <c r="E1" s="34"/>
      <c r="F1" s="10"/>
    </row>
    <row r="2" spans="1:6" ht="15.5" customHeight="1" x14ac:dyDescent="0.35">
      <c r="A2" s="34"/>
      <c r="B2" s="34"/>
      <c r="C2" s="34"/>
      <c r="D2" s="34"/>
      <c r="E2" s="34"/>
      <c r="F2" s="10"/>
    </row>
    <row r="3" spans="1:6" ht="15.5" customHeight="1" x14ac:dyDescent="0.35">
      <c r="A3" s="34"/>
      <c r="B3" s="34"/>
      <c r="C3" s="34"/>
      <c r="D3" s="34"/>
      <c r="E3" s="34"/>
      <c r="F3" s="10"/>
    </row>
    <row r="4" spans="1:6" ht="15.5" customHeight="1" x14ac:dyDescent="0.35">
      <c r="A4" s="34"/>
      <c r="B4" s="34"/>
      <c r="C4" s="34"/>
      <c r="D4" s="34"/>
      <c r="E4" s="34"/>
      <c r="F4" s="10"/>
    </row>
    <row r="5" spans="1:6" ht="15.5" customHeight="1" x14ac:dyDescent="0.35">
      <c r="A5" s="35" t="s">
        <v>53</v>
      </c>
      <c r="B5" s="35"/>
      <c r="C5" s="35"/>
      <c r="D5" s="35"/>
      <c r="E5" s="35"/>
      <c r="F5" s="10"/>
    </row>
    <row r="6" spans="1:6" ht="15.5" customHeight="1" x14ac:dyDescent="0.35">
      <c r="A6" s="35"/>
      <c r="B6" s="35"/>
      <c r="C6" s="35"/>
      <c r="D6" s="35"/>
      <c r="E6" s="35"/>
      <c r="F6" s="10"/>
    </row>
    <row r="7" spans="1:6" ht="15.5" x14ac:dyDescent="0.35">
      <c r="C7" s="1"/>
      <c r="F7" s="10"/>
    </row>
    <row r="8" spans="1:6" x14ac:dyDescent="0.35">
      <c r="A8" t="s">
        <v>2</v>
      </c>
      <c r="B8" s="1" t="s">
        <v>54</v>
      </c>
      <c r="C8" s="1" t="s">
        <v>55</v>
      </c>
      <c r="D8" s="1" t="s">
        <v>5</v>
      </c>
      <c r="E8" s="1" t="s">
        <v>6</v>
      </c>
      <c r="F8" s="1" t="s">
        <v>7</v>
      </c>
    </row>
    <row r="9" spans="1:6" x14ac:dyDescent="0.35">
      <c r="B9" s="1" t="s">
        <v>56</v>
      </c>
      <c r="D9" s="7">
        <v>8</v>
      </c>
      <c r="E9" s="7">
        <v>4000</v>
      </c>
      <c r="F9" s="1">
        <f>E9*D9</f>
        <v>32000</v>
      </c>
    </row>
    <row r="10" spans="1:6" x14ac:dyDescent="0.35">
      <c r="B10" s="1" t="s">
        <v>57</v>
      </c>
    </row>
    <row r="11" spans="1:6" x14ac:dyDescent="0.35">
      <c r="B11" s="1" t="s">
        <v>58</v>
      </c>
    </row>
    <row r="12" spans="1:6" x14ac:dyDescent="0.35">
      <c r="B12" s="1" t="s">
        <v>89</v>
      </c>
    </row>
    <row r="13" spans="1:6" x14ac:dyDescent="0.35">
      <c r="B13" s="1" t="s">
        <v>301</v>
      </c>
    </row>
    <row r="14" spans="1:6" x14ac:dyDescent="0.35">
      <c r="B14" s="1" t="s">
        <v>302</v>
      </c>
    </row>
    <row r="15" spans="1:6" x14ac:dyDescent="0.35">
      <c r="B15" s="1" t="s">
        <v>403</v>
      </c>
    </row>
    <row r="16" spans="1:6" x14ac:dyDescent="0.35">
      <c r="B16" s="1" t="s">
        <v>547</v>
      </c>
    </row>
    <row r="17" spans="1:6" x14ac:dyDescent="0.35">
      <c r="B17" s="1" t="s">
        <v>588</v>
      </c>
    </row>
    <row r="19" spans="1:6" x14ac:dyDescent="0.35">
      <c r="A19" t="s">
        <v>13</v>
      </c>
      <c r="B19" s="1" t="s">
        <v>59</v>
      </c>
      <c r="C19" t="s">
        <v>60</v>
      </c>
      <c r="D19" s="7">
        <v>7</v>
      </c>
      <c r="E19" s="7">
        <v>4000</v>
      </c>
      <c r="F19" s="1">
        <f>E19*D19</f>
        <v>28000</v>
      </c>
    </row>
    <row r="20" spans="1:6" x14ac:dyDescent="0.35">
      <c r="B20" s="11">
        <v>45880</v>
      </c>
    </row>
    <row r="21" spans="1:6" x14ac:dyDescent="0.35">
      <c r="B21" s="11">
        <v>45881</v>
      </c>
    </row>
    <row r="22" spans="1:6" x14ac:dyDescent="0.35">
      <c r="B22" s="11">
        <v>46235</v>
      </c>
    </row>
    <row r="23" spans="1:6" x14ac:dyDescent="0.35">
      <c r="B23" s="11">
        <v>46236</v>
      </c>
    </row>
    <row r="24" spans="1:6" x14ac:dyDescent="0.35">
      <c r="B24" s="11">
        <v>46237</v>
      </c>
    </row>
    <row r="25" spans="1:6" x14ac:dyDescent="0.35">
      <c r="B25" s="11">
        <v>46238</v>
      </c>
    </row>
    <row r="26" spans="1:6" x14ac:dyDescent="0.35">
      <c r="B26" s="11">
        <v>46239</v>
      </c>
    </row>
    <row r="27" spans="1:6" x14ac:dyDescent="0.35">
      <c r="B27" s="11">
        <v>46240</v>
      </c>
    </row>
    <row r="28" spans="1:6" x14ac:dyDescent="0.35">
      <c r="B28" s="11"/>
    </row>
    <row r="29" spans="1:6" x14ac:dyDescent="0.35">
      <c r="A29" t="s">
        <v>61</v>
      </c>
      <c r="B29" s="1" t="s">
        <v>62</v>
      </c>
      <c r="C29" t="s">
        <v>63</v>
      </c>
      <c r="D29" s="7">
        <v>7</v>
      </c>
      <c r="E29" s="7">
        <v>4000</v>
      </c>
      <c r="F29" s="1">
        <f>E29*D29</f>
        <v>28000</v>
      </c>
    </row>
    <row r="30" spans="1:6" x14ac:dyDescent="0.35">
      <c r="B30" s="1" t="s">
        <v>64</v>
      </c>
    </row>
    <row r="31" spans="1:6" x14ac:dyDescent="0.35">
      <c r="B31" s="1" t="s">
        <v>65</v>
      </c>
    </row>
    <row r="32" spans="1:6" x14ac:dyDescent="0.35">
      <c r="A32" s="13" t="s">
        <v>40</v>
      </c>
      <c r="B32" s="1" t="s">
        <v>66</v>
      </c>
    </row>
    <row r="33" spans="1:6" x14ac:dyDescent="0.35">
      <c r="A33" t="s">
        <v>593</v>
      </c>
      <c r="B33" s="1" t="s">
        <v>90</v>
      </c>
    </row>
    <row r="34" spans="1:6" x14ac:dyDescent="0.35">
      <c r="B34" s="1" t="s">
        <v>303</v>
      </c>
    </row>
    <row r="35" spans="1:6" x14ac:dyDescent="0.35">
      <c r="B35" s="1" t="s">
        <v>304</v>
      </c>
    </row>
    <row r="36" spans="1:6" x14ac:dyDescent="0.35">
      <c r="B36" s="1" t="s">
        <v>404</v>
      </c>
    </row>
    <row r="37" spans="1:6" x14ac:dyDescent="0.35">
      <c r="B37" s="1" t="s">
        <v>544</v>
      </c>
    </row>
    <row r="39" spans="1:6" x14ac:dyDescent="0.35">
      <c r="A39" t="s">
        <v>67</v>
      </c>
      <c r="B39" s="1" t="s">
        <v>68</v>
      </c>
      <c r="C39" t="s">
        <v>69</v>
      </c>
      <c r="D39" s="7">
        <v>7</v>
      </c>
      <c r="E39" s="7">
        <v>4000</v>
      </c>
      <c r="F39" s="1">
        <f>E39*D39</f>
        <v>28000</v>
      </c>
    </row>
    <row r="40" spans="1:6" x14ac:dyDescent="0.35">
      <c r="B40" s="1" t="s">
        <v>70</v>
      </c>
    </row>
    <row r="41" spans="1:6" x14ac:dyDescent="0.35">
      <c r="B41" s="1" t="s">
        <v>71</v>
      </c>
    </row>
    <row r="42" spans="1:6" x14ac:dyDescent="0.35">
      <c r="B42" s="1" t="s">
        <v>91</v>
      </c>
    </row>
    <row r="43" spans="1:6" x14ac:dyDescent="0.35">
      <c r="B43" s="1" t="s">
        <v>305</v>
      </c>
    </row>
    <row r="44" spans="1:6" x14ac:dyDescent="0.35">
      <c r="B44" s="1" t="s">
        <v>306</v>
      </c>
    </row>
    <row r="45" spans="1:6" x14ac:dyDescent="0.35">
      <c r="B45" s="1" t="s">
        <v>405</v>
      </c>
    </row>
    <row r="46" spans="1:6" x14ac:dyDescent="0.35">
      <c r="B46" s="1" t="s">
        <v>546</v>
      </c>
    </row>
    <row r="47" spans="1:6" x14ac:dyDescent="0.35">
      <c r="B47" s="1" t="s">
        <v>520</v>
      </c>
    </row>
    <row r="50" spans="1:6" x14ac:dyDescent="0.35">
      <c r="A50" t="s">
        <v>307</v>
      </c>
      <c r="B50" s="1" t="s">
        <v>283</v>
      </c>
      <c r="C50" t="s">
        <v>308</v>
      </c>
      <c r="D50" s="7">
        <v>6</v>
      </c>
      <c r="E50" s="7">
        <v>4000</v>
      </c>
      <c r="F50" s="1">
        <f>E50*D50</f>
        <v>24000</v>
      </c>
    </row>
    <row r="51" spans="1:6" x14ac:dyDescent="0.35">
      <c r="B51" s="1" t="s">
        <v>309</v>
      </c>
    </row>
    <row r="52" spans="1:6" x14ac:dyDescent="0.35">
      <c r="B52" s="1" t="s">
        <v>310</v>
      </c>
    </row>
    <row r="53" spans="1:6" x14ac:dyDescent="0.35">
      <c r="B53" s="1" t="s">
        <v>311</v>
      </c>
    </row>
    <row r="54" spans="1:6" x14ac:dyDescent="0.35">
      <c r="B54" s="1" t="s">
        <v>312</v>
      </c>
    </row>
    <row r="55" spans="1:6" x14ac:dyDescent="0.35">
      <c r="B55" s="1" t="s">
        <v>406</v>
      </c>
    </row>
    <row r="56" spans="1:6" x14ac:dyDescent="0.35">
      <c r="B56" s="1" t="s">
        <v>545</v>
      </c>
    </row>
    <row r="57" spans="1:6" x14ac:dyDescent="0.35">
      <c r="B57" s="1" t="s">
        <v>590</v>
      </c>
    </row>
    <row r="59" spans="1:6" x14ac:dyDescent="0.35">
      <c r="A59" t="s">
        <v>72</v>
      </c>
      <c r="B59" s="1" t="s">
        <v>73</v>
      </c>
      <c r="D59" s="7">
        <v>7</v>
      </c>
      <c r="E59" s="7">
        <v>7000</v>
      </c>
      <c r="F59" s="1">
        <f>E59*D59</f>
        <v>49000</v>
      </c>
    </row>
    <row r="60" spans="1:6" x14ac:dyDescent="0.35">
      <c r="B60" s="1" t="s">
        <v>74</v>
      </c>
    </row>
    <row r="61" spans="1:6" x14ac:dyDescent="0.35">
      <c r="A61" s="13" t="s">
        <v>40</v>
      </c>
      <c r="B61" s="1" t="s">
        <v>64</v>
      </c>
    </row>
    <row r="62" spans="1:6" x14ac:dyDescent="0.35">
      <c r="A62" t="s">
        <v>593</v>
      </c>
      <c r="B62" s="1" t="s">
        <v>65</v>
      </c>
    </row>
    <row r="63" spans="1:6" x14ac:dyDescent="0.35">
      <c r="B63" s="1" t="s">
        <v>66</v>
      </c>
    </row>
    <row r="64" spans="1:6" x14ac:dyDescent="0.35">
      <c r="B64" s="1" t="s">
        <v>90</v>
      </c>
    </row>
    <row r="65" spans="2:6" x14ac:dyDescent="0.35">
      <c r="B65" s="1" t="s">
        <v>303</v>
      </c>
    </row>
    <row r="66" spans="2:6" x14ac:dyDescent="0.35">
      <c r="B66" s="1" t="s">
        <v>304</v>
      </c>
    </row>
    <row r="67" spans="2:6" x14ac:dyDescent="0.35">
      <c r="B67" s="1" t="s">
        <v>404</v>
      </c>
      <c r="E67" s="4" t="s">
        <v>7</v>
      </c>
      <c r="F67" s="5">
        <f>SUM(F9:F66)</f>
        <v>189000</v>
      </c>
    </row>
    <row r="68" spans="2:6" x14ac:dyDescent="0.35">
      <c r="B68" s="1" t="s">
        <v>544</v>
      </c>
      <c r="E68" s="6" t="s">
        <v>40</v>
      </c>
      <c r="F68" s="7">
        <v>119000</v>
      </c>
    </row>
    <row r="69" spans="2:6" x14ac:dyDescent="0.35">
      <c r="E69" s="4" t="s">
        <v>19</v>
      </c>
      <c r="F69" s="5">
        <f>F67-F68</f>
        <v>70000</v>
      </c>
    </row>
    <row r="73" spans="2:6" x14ac:dyDescent="0.35">
      <c r="B73" s="6" t="s">
        <v>75</v>
      </c>
      <c r="C73" s="6" t="s">
        <v>6</v>
      </c>
    </row>
    <row r="74" spans="2:6" x14ac:dyDescent="0.35">
      <c r="B74" s="6" t="s">
        <v>76</v>
      </c>
      <c r="C74" s="9">
        <v>8000</v>
      </c>
    </row>
    <row r="75" spans="2:6" x14ac:dyDescent="0.35">
      <c r="B75" s="6" t="s">
        <v>77</v>
      </c>
      <c r="C75" s="9">
        <v>11000</v>
      </c>
    </row>
    <row r="76" spans="2:6" x14ac:dyDescent="0.35">
      <c r="B76" s="6" t="s">
        <v>92</v>
      </c>
      <c r="C76" s="9">
        <v>40000</v>
      </c>
    </row>
    <row r="77" spans="2:6" ht="14.5" customHeight="1" x14ac:dyDescent="0.35">
      <c r="B77" s="28">
        <v>46299</v>
      </c>
      <c r="C77" s="9">
        <v>40000</v>
      </c>
    </row>
    <row r="78" spans="2:6" ht="14.5" customHeight="1" x14ac:dyDescent="0.35">
      <c r="B78" s="28">
        <v>46300</v>
      </c>
      <c r="C78" s="9">
        <v>20000</v>
      </c>
    </row>
    <row r="79" spans="2:6" x14ac:dyDescent="0.35">
      <c r="B79" s="6" t="s">
        <v>7</v>
      </c>
      <c r="C79" s="9">
        <f>SUM(C74:C78)</f>
        <v>119000</v>
      </c>
    </row>
    <row r="80" spans="2:6" x14ac:dyDescent="0.35">
      <c r="B80" s="6"/>
      <c r="C80" s="12"/>
    </row>
  </sheetData>
  <mergeCells count="2">
    <mergeCell ref="A1:E4"/>
    <mergeCell ref="A5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C808-A793-4063-86A9-4A1DB5671E22}">
  <dimension ref="A1:R28"/>
  <sheetViews>
    <sheetView workbookViewId="0">
      <selection sqref="A1:G28"/>
    </sheetView>
  </sheetViews>
  <sheetFormatPr defaultRowHeight="14.5" x14ac:dyDescent="0.35"/>
  <cols>
    <col min="2" max="2" width="22.36328125" style="1" customWidth="1"/>
    <col min="3" max="3" width="9.90625" customWidth="1"/>
    <col min="8" max="8" width="10.81640625" bestFit="1" customWidth="1"/>
  </cols>
  <sheetData>
    <row r="1" spans="1:6" x14ac:dyDescent="0.35">
      <c r="A1" s="34" t="s">
        <v>0</v>
      </c>
      <c r="B1" s="34"/>
      <c r="C1" s="34"/>
      <c r="D1" s="34"/>
      <c r="E1" s="34"/>
      <c r="F1" s="1"/>
    </row>
    <row r="2" spans="1:6" x14ac:dyDescent="0.35">
      <c r="A2" s="34"/>
      <c r="B2" s="34"/>
      <c r="C2" s="34"/>
      <c r="D2" s="34"/>
      <c r="E2" s="34"/>
      <c r="F2" s="1"/>
    </row>
    <row r="3" spans="1:6" x14ac:dyDescent="0.35">
      <c r="A3" s="34"/>
      <c r="B3" s="34"/>
      <c r="C3" s="34"/>
      <c r="D3" s="34"/>
      <c r="E3" s="34"/>
      <c r="F3" s="1"/>
    </row>
    <row r="4" spans="1:6" x14ac:dyDescent="0.35">
      <c r="A4" s="34"/>
      <c r="B4" s="34"/>
      <c r="C4" s="34"/>
      <c r="D4" s="34"/>
      <c r="E4" s="34"/>
      <c r="F4" s="1"/>
    </row>
    <row r="5" spans="1:6" x14ac:dyDescent="0.35">
      <c r="A5" s="35" t="s">
        <v>41</v>
      </c>
      <c r="B5" s="35"/>
      <c r="C5" s="35"/>
      <c r="D5" s="35"/>
      <c r="E5" s="35"/>
      <c r="F5" s="1"/>
    </row>
    <row r="6" spans="1:6" x14ac:dyDescent="0.35">
      <c r="A6" s="35"/>
      <c r="B6" s="35"/>
      <c r="C6" s="35"/>
      <c r="D6" s="35"/>
      <c r="E6" s="35"/>
      <c r="F6" s="1"/>
    </row>
    <row r="7" spans="1:6" x14ac:dyDescent="0.35">
      <c r="C7" s="1"/>
      <c r="D7" s="1"/>
      <c r="E7" s="1"/>
      <c r="F7" s="1"/>
    </row>
    <row r="8" spans="1:6" x14ac:dyDescent="0.35">
      <c r="A8" t="s">
        <v>42</v>
      </c>
      <c r="B8" s="1" t="s">
        <v>43</v>
      </c>
      <c r="C8" s="1" t="s">
        <v>44</v>
      </c>
      <c r="D8" s="1" t="s">
        <v>5</v>
      </c>
      <c r="E8" s="1" t="s">
        <v>6</v>
      </c>
      <c r="F8" s="1" t="s">
        <v>7</v>
      </c>
    </row>
    <row r="9" spans="1:6" x14ac:dyDescent="0.35">
      <c r="B9" s="3">
        <v>46146</v>
      </c>
      <c r="D9">
        <v>3</v>
      </c>
      <c r="E9">
        <v>4000</v>
      </c>
      <c r="F9">
        <v>8000</v>
      </c>
    </row>
    <row r="10" spans="1:6" x14ac:dyDescent="0.35">
      <c r="B10" s="3">
        <v>46147</v>
      </c>
    </row>
    <row r="11" spans="1:6" x14ac:dyDescent="0.35">
      <c r="B11" s="3">
        <v>46148</v>
      </c>
    </row>
    <row r="12" spans="1:6" x14ac:dyDescent="0.35">
      <c r="B12" s="3">
        <v>46149</v>
      </c>
    </row>
    <row r="16" spans="1:6" x14ac:dyDescent="0.35">
      <c r="A16" t="s">
        <v>30</v>
      </c>
      <c r="B16" s="1" t="s">
        <v>49</v>
      </c>
      <c r="C16" t="s">
        <v>50</v>
      </c>
    </row>
    <row r="17" spans="1:18" x14ac:dyDescent="0.35">
      <c r="B17" s="3">
        <v>46269</v>
      </c>
      <c r="D17">
        <v>3</v>
      </c>
      <c r="E17">
        <v>4000</v>
      </c>
      <c r="F17">
        <f>E17*D17</f>
        <v>12000</v>
      </c>
    </row>
    <row r="18" spans="1:18" x14ac:dyDescent="0.35">
      <c r="B18" s="3">
        <v>46270</v>
      </c>
    </row>
    <row r="19" spans="1:18" x14ac:dyDescent="0.35">
      <c r="B19" s="3">
        <v>46271</v>
      </c>
    </row>
    <row r="20" spans="1:18" x14ac:dyDescent="0.35">
      <c r="B20" s="3">
        <v>46272</v>
      </c>
    </row>
    <row r="22" spans="1:18" x14ac:dyDescent="0.35">
      <c r="A22" t="s">
        <v>48</v>
      </c>
      <c r="B22" s="1" t="s">
        <v>570</v>
      </c>
      <c r="C22" t="s">
        <v>571</v>
      </c>
      <c r="L22" t="s">
        <v>195</v>
      </c>
    </row>
    <row r="23" spans="1:18" x14ac:dyDescent="0.35">
      <c r="B23" s="1" t="s">
        <v>572</v>
      </c>
      <c r="D23">
        <v>2</v>
      </c>
      <c r="E23">
        <v>4000</v>
      </c>
      <c r="F23">
        <f>E23*D23</f>
        <v>8000</v>
      </c>
    </row>
    <row r="24" spans="1:18" x14ac:dyDescent="0.35">
      <c r="B24" s="1" t="s">
        <v>540</v>
      </c>
    </row>
    <row r="25" spans="1:18" x14ac:dyDescent="0.35">
      <c r="B25" s="1" t="s">
        <v>541</v>
      </c>
    </row>
    <row r="26" spans="1:18" x14ac:dyDescent="0.35">
      <c r="B26" s="1" t="s">
        <v>541</v>
      </c>
    </row>
    <row r="27" spans="1:18" x14ac:dyDescent="0.35">
      <c r="E27" s="12" t="s">
        <v>87</v>
      </c>
      <c r="F27" s="12">
        <f>SUM(F9:F23)</f>
        <v>28000</v>
      </c>
    </row>
    <row r="28" spans="1:18" x14ac:dyDescent="0.35">
      <c r="R28" t="s">
        <v>589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78DC-9487-4745-9A45-E220030D3830}">
  <dimension ref="A1:O42"/>
  <sheetViews>
    <sheetView topLeftCell="A27" workbookViewId="0">
      <selection sqref="A1:G41"/>
    </sheetView>
  </sheetViews>
  <sheetFormatPr defaultRowHeight="14.5" x14ac:dyDescent="0.35"/>
  <cols>
    <col min="1" max="1" width="10.453125" bestFit="1" customWidth="1"/>
    <col min="2" max="2" width="20.08984375" style="1" customWidth="1"/>
    <col min="3" max="3" width="9.7265625" customWidth="1"/>
    <col min="5" max="5" width="11.08984375" customWidth="1"/>
  </cols>
  <sheetData>
    <row r="1" spans="1:15" ht="15.5" customHeight="1" x14ac:dyDescent="0.35">
      <c r="A1" s="34" t="s">
        <v>0</v>
      </c>
      <c r="B1" s="34"/>
      <c r="C1" s="34"/>
      <c r="D1" s="32"/>
      <c r="E1" s="32"/>
      <c r="F1" s="10"/>
    </row>
    <row r="2" spans="1:15" ht="15.5" customHeight="1" x14ac:dyDescent="0.35">
      <c r="A2" s="34"/>
      <c r="B2" s="34"/>
      <c r="C2" s="34"/>
      <c r="D2" s="32"/>
      <c r="E2" s="32"/>
      <c r="F2" s="10"/>
    </row>
    <row r="3" spans="1:15" ht="15.5" customHeight="1" x14ac:dyDescent="0.35">
      <c r="A3" s="34"/>
      <c r="B3" s="34"/>
      <c r="C3" s="34"/>
      <c r="D3" s="32"/>
      <c r="E3" s="32"/>
      <c r="F3" s="10"/>
    </row>
    <row r="4" spans="1:15" ht="15.5" customHeight="1" x14ac:dyDescent="0.45">
      <c r="A4" s="35" t="s">
        <v>78</v>
      </c>
      <c r="B4" s="35"/>
      <c r="C4" s="35"/>
      <c r="D4" s="35"/>
      <c r="E4" s="35"/>
      <c r="F4" s="21"/>
    </row>
    <row r="5" spans="1:15" ht="15.5" customHeight="1" x14ac:dyDescent="0.35">
      <c r="A5" s="35"/>
      <c r="B5" s="35"/>
      <c r="C5" s="35"/>
      <c r="D5" s="35"/>
      <c r="E5" s="35"/>
      <c r="F5" s="10"/>
    </row>
    <row r="6" spans="1:15" ht="15.5" customHeight="1" x14ac:dyDescent="0.45">
      <c r="C6" s="20"/>
      <c r="D6" s="20"/>
      <c r="E6" s="20"/>
      <c r="F6" s="10"/>
    </row>
    <row r="7" spans="1:15" ht="15.5" customHeight="1" x14ac:dyDescent="0.35">
      <c r="A7" t="s">
        <v>2</v>
      </c>
      <c r="B7" s="1" t="s">
        <v>79</v>
      </c>
      <c r="C7" s="1"/>
      <c r="D7" s="1"/>
      <c r="E7" s="1"/>
      <c r="F7" s="10"/>
    </row>
    <row r="8" spans="1:15" x14ac:dyDescent="0.35">
      <c r="B8" s="1" t="s">
        <v>81</v>
      </c>
      <c r="C8" s="1" t="s">
        <v>80</v>
      </c>
      <c r="D8" s="1" t="s">
        <v>5</v>
      </c>
      <c r="E8" s="1" t="s">
        <v>6</v>
      </c>
      <c r="F8" s="1" t="s">
        <v>7</v>
      </c>
    </row>
    <row r="9" spans="1:15" x14ac:dyDescent="0.35">
      <c r="B9" s="1" t="s">
        <v>82</v>
      </c>
      <c r="D9">
        <v>5</v>
      </c>
      <c r="E9">
        <v>4000</v>
      </c>
      <c r="F9">
        <f>E9*D9</f>
        <v>20000</v>
      </c>
    </row>
    <row r="10" spans="1:15" x14ac:dyDescent="0.35">
      <c r="B10" s="1" t="s">
        <v>83</v>
      </c>
    </row>
    <row r="11" spans="1:15" ht="18.5" x14ac:dyDescent="0.45">
      <c r="A11" s="13" t="s">
        <v>40</v>
      </c>
      <c r="B11" s="1" t="s">
        <v>84</v>
      </c>
      <c r="N11" s="20"/>
      <c r="O11" s="20"/>
    </row>
    <row r="12" spans="1:15" x14ac:dyDescent="0.35">
      <c r="A12" s="2">
        <v>46003</v>
      </c>
      <c r="B12" s="1" t="s">
        <v>38</v>
      </c>
    </row>
    <row r="13" spans="1:15" x14ac:dyDescent="0.35">
      <c r="B13" s="1" t="s">
        <v>39</v>
      </c>
    </row>
    <row r="17" spans="1:6" x14ac:dyDescent="0.35">
      <c r="A17" t="s">
        <v>30</v>
      </c>
      <c r="B17" s="1" t="s">
        <v>85</v>
      </c>
    </row>
    <row r="18" spans="1:6" x14ac:dyDescent="0.35">
      <c r="B18" s="3">
        <v>45999</v>
      </c>
      <c r="C18" t="s">
        <v>86</v>
      </c>
    </row>
    <row r="19" spans="1:6" x14ac:dyDescent="0.35">
      <c r="B19" s="3">
        <v>46000</v>
      </c>
      <c r="D19">
        <v>10</v>
      </c>
      <c r="E19">
        <v>4000</v>
      </c>
      <c r="F19">
        <f>E19*D19</f>
        <v>40000</v>
      </c>
    </row>
    <row r="20" spans="1:6" x14ac:dyDescent="0.35">
      <c r="B20" s="3">
        <v>46001</v>
      </c>
    </row>
    <row r="21" spans="1:6" x14ac:dyDescent="0.35">
      <c r="B21" s="3">
        <v>46002</v>
      </c>
    </row>
    <row r="22" spans="1:6" x14ac:dyDescent="0.35">
      <c r="B22" s="3">
        <v>46003</v>
      </c>
    </row>
    <row r="23" spans="1:6" x14ac:dyDescent="0.35">
      <c r="B23" s="3">
        <v>46357</v>
      </c>
    </row>
    <row r="24" spans="1:6" x14ac:dyDescent="0.35">
      <c r="B24" s="3">
        <v>46358</v>
      </c>
    </row>
    <row r="25" spans="1:6" x14ac:dyDescent="0.35">
      <c r="B25" s="3">
        <v>46359</v>
      </c>
    </row>
    <row r="26" spans="1:6" x14ac:dyDescent="0.35">
      <c r="B26" s="3">
        <v>46360</v>
      </c>
    </row>
    <row r="27" spans="1:6" x14ac:dyDescent="0.35">
      <c r="B27" s="3">
        <v>46361</v>
      </c>
    </row>
    <row r="28" spans="1:6" x14ac:dyDescent="0.35">
      <c r="B28" s="3">
        <v>46362</v>
      </c>
      <c r="E28" s="15" t="s">
        <v>87</v>
      </c>
      <c r="F28" s="15">
        <f>SUM(F9:F27)</f>
        <v>60000</v>
      </c>
    </row>
    <row r="29" spans="1:6" x14ac:dyDescent="0.35">
      <c r="E29" t="s">
        <v>17</v>
      </c>
      <c r="F29" s="16">
        <v>39500</v>
      </c>
    </row>
    <row r="30" spans="1:6" x14ac:dyDescent="0.35">
      <c r="E30" s="14" t="s">
        <v>19</v>
      </c>
      <c r="F30" s="14">
        <f>F28-F29</f>
        <v>20500</v>
      </c>
    </row>
    <row r="32" spans="1:6" x14ac:dyDescent="0.35">
      <c r="B32" s="6" t="s">
        <v>75</v>
      </c>
    </row>
    <row r="33" spans="2:3" x14ac:dyDescent="0.35">
      <c r="B33" s="6" t="s">
        <v>88</v>
      </c>
      <c r="C33" s="12" t="s">
        <v>6</v>
      </c>
    </row>
    <row r="34" spans="2:3" x14ac:dyDescent="0.35">
      <c r="B34" s="8">
        <v>45818</v>
      </c>
      <c r="C34" s="12">
        <v>3500</v>
      </c>
    </row>
    <row r="35" spans="2:3" x14ac:dyDescent="0.35">
      <c r="B35" s="8">
        <v>45999</v>
      </c>
      <c r="C35" s="12">
        <v>4000</v>
      </c>
    </row>
    <row r="36" spans="2:3" x14ac:dyDescent="0.35">
      <c r="B36" s="8">
        <v>45970</v>
      </c>
      <c r="C36" s="12">
        <v>4000</v>
      </c>
    </row>
    <row r="37" spans="2:3" x14ac:dyDescent="0.35">
      <c r="B37" s="8">
        <v>45700</v>
      </c>
      <c r="C37" s="12">
        <v>4000</v>
      </c>
    </row>
    <row r="38" spans="2:3" ht="14.5" customHeight="1" x14ac:dyDescent="0.35">
      <c r="B38" s="8" t="s">
        <v>205</v>
      </c>
      <c r="C38" s="12">
        <v>4000</v>
      </c>
    </row>
    <row r="39" spans="2:3" ht="14.5" customHeight="1" x14ac:dyDescent="0.35">
      <c r="B39" s="8">
        <v>45699</v>
      </c>
      <c r="C39" s="12">
        <v>10000</v>
      </c>
    </row>
    <row r="40" spans="2:3" ht="14.5" customHeight="1" x14ac:dyDescent="0.35">
      <c r="B40" s="8">
        <v>46207</v>
      </c>
      <c r="C40" s="12">
        <v>10000</v>
      </c>
    </row>
    <row r="41" spans="2:3" x14ac:dyDescent="0.35">
      <c r="B41" s="6" t="s">
        <v>87</v>
      </c>
      <c r="C41" s="18">
        <v>39500</v>
      </c>
    </row>
    <row r="42" spans="2:3" x14ac:dyDescent="0.35">
      <c r="C42" s="12"/>
    </row>
  </sheetData>
  <mergeCells count="2">
    <mergeCell ref="A1:C3"/>
    <mergeCell ref="A4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CE90-585E-4589-8971-E3CEE2EE2E62}">
  <dimension ref="A1:I51"/>
  <sheetViews>
    <sheetView workbookViewId="0">
      <selection sqref="A1:E6"/>
    </sheetView>
  </sheetViews>
  <sheetFormatPr defaultRowHeight="14.5" x14ac:dyDescent="0.35"/>
  <cols>
    <col min="2" max="2" width="21" style="1" customWidth="1"/>
    <col min="3" max="3" width="13.81640625" customWidth="1"/>
    <col min="4" max="4" width="8.7265625" style="1"/>
    <col min="5" max="5" width="10.26953125" style="1" customWidth="1"/>
    <col min="6" max="6" width="8.7265625" style="1"/>
  </cols>
  <sheetData>
    <row r="1" spans="1:6" ht="15.5" x14ac:dyDescent="0.35">
      <c r="A1" s="34" t="s">
        <v>0</v>
      </c>
      <c r="B1" s="34"/>
      <c r="C1" s="34"/>
      <c r="D1" s="34"/>
      <c r="E1" s="34"/>
      <c r="F1" s="10"/>
    </row>
    <row r="2" spans="1:6" ht="15.5" x14ac:dyDescent="0.35">
      <c r="A2" s="34"/>
      <c r="B2" s="34"/>
      <c r="C2" s="34"/>
      <c r="D2" s="34"/>
      <c r="E2" s="34"/>
      <c r="F2" s="10"/>
    </row>
    <row r="3" spans="1:6" ht="15.5" x14ac:dyDescent="0.35">
      <c r="A3" s="34"/>
      <c r="B3" s="34"/>
      <c r="C3" s="34"/>
      <c r="D3" s="34"/>
      <c r="E3" s="34"/>
      <c r="F3" s="10"/>
    </row>
    <row r="4" spans="1:6" ht="15.5" x14ac:dyDescent="0.35">
      <c r="A4" s="34"/>
      <c r="B4" s="34"/>
      <c r="C4" s="34"/>
      <c r="D4" s="34"/>
      <c r="E4" s="34"/>
      <c r="F4" s="10"/>
    </row>
    <row r="5" spans="1:6" ht="15.5" x14ac:dyDescent="0.35">
      <c r="A5" s="35" t="s">
        <v>108</v>
      </c>
      <c r="B5" s="35"/>
      <c r="C5" s="35"/>
      <c r="D5" s="35"/>
      <c r="E5" s="35"/>
      <c r="F5" s="10"/>
    </row>
    <row r="6" spans="1:6" ht="15.5" x14ac:dyDescent="0.35">
      <c r="A6" s="35"/>
      <c r="B6" s="35"/>
      <c r="C6" s="35"/>
      <c r="D6" s="35"/>
      <c r="E6" s="35"/>
      <c r="F6" s="10"/>
    </row>
    <row r="7" spans="1:6" ht="15.5" x14ac:dyDescent="0.35">
      <c r="C7" s="1"/>
      <c r="F7" s="10"/>
    </row>
    <row r="8" spans="1:6" x14ac:dyDescent="0.35">
      <c r="A8" t="s">
        <v>2</v>
      </c>
      <c r="B8" s="1" t="s">
        <v>100</v>
      </c>
      <c r="C8" s="1" t="s">
        <v>101</v>
      </c>
      <c r="D8" s="1" t="s">
        <v>5</v>
      </c>
      <c r="E8" s="1" t="s">
        <v>6</v>
      </c>
      <c r="F8" s="1" t="s">
        <v>7</v>
      </c>
    </row>
    <row r="9" spans="1:6" x14ac:dyDescent="0.35">
      <c r="B9" s="3">
        <v>45787</v>
      </c>
      <c r="D9" s="7">
        <v>8</v>
      </c>
      <c r="E9" s="7">
        <v>4000</v>
      </c>
      <c r="F9" s="1">
        <f>E9*D9</f>
        <v>32000</v>
      </c>
    </row>
    <row r="10" spans="1:6" x14ac:dyDescent="0.35">
      <c r="B10" s="3">
        <v>45788</v>
      </c>
    </row>
    <row r="11" spans="1:6" x14ac:dyDescent="0.35">
      <c r="B11" s="3">
        <v>45789</v>
      </c>
    </row>
    <row r="12" spans="1:6" x14ac:dyDescent="0.35">
      <c r="B12" s="3">
        <v>46143</v>
      </c>
    </row>
    <row r="13" spans="1:6" x14ac:dyDescent="0.35">
      <c r="B13" s="3">
        <v>46144</v>
      </c>
    </row>
    <row r="14" spans="1:6" x14ac:dyDescent="0.35">
      <c r="B14" s="3">
        <v>46145</v>
      </c>
    </row>
    <row r="15" spans="1:6" x14ac:dyDescent="0.35">
      <c r="B15" s="3">
        <v>46146</v>
      </c>
    </row>
    <row r="16" spans="1:6" x14ac:dyDescent="0.35">
      <c r="B16" s="3">
        <v>46147</v>
      </c>
    </row>
    <row r="17" spans="1:6" x14ac:dyDescent="0.35">
      <c r="B17" s="3">
        <v>46148</v>
      </c>
    </row>
    <row r="19" spans="1:6" x14ac:dyDescent="0.35">
      <c r="A19" t="s">
        <v>13</v>
      </c>
      <c r="B19" s="1" t="s">
        <v>102</v>
      </c>
      <c r="C19" t="s">
        <v>103</v>
      </c>
      <c r="D19" s="7">
        <v>8</v>
      </c>
      <c r="E19" s="7">
        <v>4000</v>
      </c>
      <c r="F19" s="1">
        <f>E19*D19</f>
        <v>32000</v>
      </c>
    </row>
    <row r="20" spans="1:6" x14ac:dyDescent="0.35">
      <c r="B20" s="3">
        <v>45848</v>
      </c>
      <c r="C20" s="2"/>
    </row>
    <row r="21" spans="1:6" x14ac:dyDescent="0.35">
      <c r="B21" s="3">
        <v>45849</v>
      </c>
      <c r="C21" s="2"/>
    </row>
    <row r="22" spans="1:6" x14ac:dyDescent="0.35">
      <c r="B22" s="3">
        <v>45850</v>
      </c>
      <c r="C22" s="2"/>
    </row>
    <row r="23" spans="1:6" x14ac:dyDescent="0.35">
      <c r="B23" s="3">
        <v>46204</v>
      </c>
    </row>
    <row r="24" spans="1:6" x14ac:dyDescent="0.35">
      <c r="B24" s="3">
        <v>46205</v>
      </c>
    </row>
    <row r="25" spans="1:6" x14ac:dyDescent="0.35">
      <c r="B25" s="3">
        <v>46206</v>
      </c>
    </row>
    <row r="26" spans="1:6" x14ac:dyDescent="0.35">
      <c r="B26" s="3">
        <v>46207</v>
      </c>
    </row>
    <row r="27" spans="1:6" x14ac:dyDescent="0.35">
      <c r="B27" s="3">
        <v>46208</v>
      </c>
    </row>
    <row r="28" spans="1:6" x14ac:dyDescent="0.35">
      <c r="B28" s="3">
        <v>46209</v>
      </c>
    </row>
    <row r="30" spans="1:6" x14ac:dyDescent="0.35">
      <c r="A30" t="s">
        <v>35</v>
      </c>
      <c r="B30" s="1" t="s">
        <v>104</v>
      </c>
      <c r="C30" t="s">
        <v>105</v>
      </c>
      <c r="D30" s="1">
        <v>6</v>
      </c>
      <c r="E30" s="1">
        <v>4000</v>
      </c>
      <c r="F30" s="1">
        <f>E30*D30</f>
        <v>24000</v>
      </c>
    </row>
    <row r="31" spans="1:6" x14ac:dyDescent="0.35">
      <c r="B31" s="1" t="s">
        <v>34</v>
      </c>
    </row>
    <row r="32" spans="1:6" x14ac:dyDescent="0.35">
      <c r="B32" s="1" t="s">
        <v>106</v>
      </c>
    </row>
    <row r="33" spans="2:9" x14ac:dyDescent="0.35">
      <c r="B33" s="1" t="s">
        <v>193</v>
      </c>
    </row>
    <row r="34" spans="2:9" x14ac:dyDescent="0.35">
      <c r="B34" s="1" t="s">
        <v>243</v>
      </c>
    </row>
    <row r="35" spans="2:9" x14ac:dyDescent="0.35">
      <c r="B35" s="1" t="s">
        <v>392</v>
      </c>
    </row>
    <row r="36" spans="2:9" x14ac:dyDescent="0.35">
      <c r="B36" s="1" t="s">
        <v>492</v>
      </c>
    </row>
    <row r="37" spans="2:9" x14ac:dyDescent="0.35">
      <c r="B37" s="1" t="s">
        <v>578</v>
      </c>
    </row>
    <row r="38" spans="2:9" x14ac:dyDescent="0.35">
      <c r="E38" s="4" t="s">
        <v>99</v>
      </c>
      <c r="F38" s="4">
        <f>SUM(F8:F35)</f>
        <v>88000</v>
      </c>
    </row>
    <row r="39" spans="2:9" x14ac:dyDescent="0.35">
      <c r="E39" s="1" t="s">
        <v>107</v>
      </c>
      <c r="F39" s="7">
        <v>2500</v>
      </c>
      <c r="H39" s="26"/>
      <c r="I39" s="26"/>
    </row>
    <row r="40" spans="2:9" x14ac:dyDescent="0.35">
      <c r="E40" s="4" t="s">
        <v>87</v>
      </c>
      <c r="F40" s="17">
        <f>F38+F39</f>
        <v>90500</v>
      </c>
    </row>
    <row r="41" spans="2:9" x14ac:dyDescent="0.35">
      <c r="E41" s="1" t="s">
        <v>17</v>
      </c>
      <c r="F41" s="1">
        <v>63500</v>
      </c>
    </row>
    <row r="42" spans="2:9" x14ac:dyDescent="0.35">
      <c r="E42" s="4" t="s">
        <v>99</v>
      </c>
      <c r="F42" s="17">
        <f>F40-F41</f>
        <v>27000</v>
      </c>
    </row>
    <row r="43" spans="2:9" x14ac:dyDescent="0.35">
      <c r="B43" s="6" t="s">
        <v>107</v>
      </c>
      <c r="C43" s="12" t="s">
        <v>87</v>
      </c>
    </row>
    <row r="44" spans="2:9" x14ac:dyDescent="0.35">
      <c r="B44" s="6" t="s">
        <v>579</v>
      </c>
      <c r="C44" s="12">
        <v>2500</v>
      </c>
    </row>
    <row r="47" spans="2:9" x14ac:dyDescent="0.35">
      <c r="B47" s="6" t="s">
        <v>75</v>
      </c>
      <c r="C47" s="6" t="s">
        <v>6</v>
      </c>
    </row>
    <row r="48" spans="2:9" x14ac:dyDescent="0.35">
      <c r="B48" s="8">
        <v>46024</v>
      </c>
      <c r="C48" s="6">
        <v>28000</v>
      </c>
    </row>
    <row r="49" spans="2:6" x14ac:dyDescent="0.35">
      <c r="B49" s="8">
        <v>46085</v>
      </c>
      <c r="C49" s="6">
        <v>35500</v>
      </c>
      <c r="F49" s="1" t="s">
        <v>195</v>
      </c>
    </row>
    <row r="50" spans="2:6" x14ac:dyDescent="0.35">
      <c r="B50" s="6"/>
      <c r="C50" s="12"/>
    </row>
    <row r="51" spans="2:6" x14ac:dyDescent="0.35">
      <c r="B51" s="6" t="s">
        <v>17</v>
      </c>
      <c r="C51" s="6">
        <f>C48+C49</f>
        <v>63500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2080-8854-41A4-BDE8-F17CE9430772}">
  <dimension ref="A1:O30"/>
  <sheetViews>
    <sheetView topLeftCell="A4" zoomScale="115" zoomScaleNormal="115" workbookViewId="0">
      <selection sqref="A1:F33"/>
    </sheetView>
  </sheetViews>
  <sheetFormatPr defaultRowHeight="14.5" x14ac:dyDescent="0.35"/>
  <cols>
    <col min="2" max="2" width="15" customWidth="1"/>
    <col min="6" max="6" width="10.26953125" customWidth="1"/>
  </cols>
  <sheetData>
    <row r="1" spans="1:15" x14ac:dyDescent="0.35">
      <c r="A1" s="34" t="s">
        <v>0</v>
      </c>
      <c r="B1" s="34"/>
      <c r="C1" s="34"/>
      <c r="D1" s="34"/>
      <c r="E1" s="34"/>
    </row>
    <row r="2" spans="1:15" x14ac:dyDescent="0.35">
      <c r="A2" s="34"/>
      <c r="B2" s="34"/>
      <c r="C2" s="34"/>
      <c r="D2" s="34"/>
      <c r="E2" s="34"/>
    </row>
    <row r="3" spans="1:15" x14ac:dyDescent="0.35">
      <c r="A3" s="34"/>
      <c r="B3" s="34"/>
      <c r="C3" s="34"/>
      <c r="D3" s="34"/>
      <c r="E3" s="34"/>
    </row>
    <row r="4" spans="1:15" x14ac:dyDescent="0.35">
      <c r="A4" s="34"/>
      <c r="B4" s="34"/>
      <c r="C4" s="34"/>
      <c r="D4" s="34"/>
      <c r="E4" s="34"/>
    </row>
    <row r="5" spans="1:15" x14ac:dyDescent="0.35">
      <c r="A5" s="35" t="s">
        <v>108</v>
      </c>
      <c r="B5" s="35"/>
      <c r="C5" s="35"/>
      <c r="D5" s="35"/>
      <c r="E5" s="35"/>
    </row>
    <row r="6" spans="1:15" x14ac:dyDescent="0.35">
      <c r="A6" s="35"/>
      <c r="B6" s="35"/>
      <c r="C6" s="35"/>
      <c r="D6" s="35"/>
      <c r="E6" s="35"/>
    </row>
    <row r="8" spans="1:15" x14ac:dyDescent="0.35">
      <c r="A8" t="s">
        <v>2</v>
      </c>
      <c r="B8" s="1" t="s">
        <v>100</v>
      </c>
      <c r="C8" s="1" t="s">
        <v>101</v>
      </c>
      <c r="D8" s="1" t="s">
        <v>5</v>
      </c>
      <c r="E8" s="1" t="s">
        <v>6</v>
      </c>
      <c r="F8" s="1" t="s">
        <v>7</v>
      </c>
    </row>
    <row r="9" spans="1:15" x14ac:dyDescent="0.35">
      <c r="B9" s="3">
        <v>46146</v>
      </c>
      <c r="D9" s="7">
        <v>2</v>
      </c>
      <c r="E9" s="7">
        <v>4000</v>
      </c>
      <c r="F9" s="1">
        <f>E9*D9</f>
        <v>8000</v>
      </c>
    </row>
    <row r="10" spans="1:15" x14ac:dyDescent="0.35">
      <c r="B10" s="3">
        <v>46147</v>
      </c>
      <c r="D10" s="1"/>
      <c r="E10" s="1"/>
      <c r="F10" s="1"/>
    </row>
    <row r="11" spans="1:15" x14ac:dyDescent="0.35">
      <c r="B11" s="3">
        <v>46148</v>
      </c>
      <c r="D11" s="1"/>
      <c r="E11" s="1"/>
      <c r="F11" s="1"/>
    </row>
    <row r="12" spans="1:15" x14ac:dyDescent="0.35">
      <c r="B12" s="1"/>
      <c r="D12" s="1"/>
      <c r="E12" s="1"/>
      <c r="F12" s="1"/>
    </row>
    <row r="13" spans="1:15" x14ac:dyDescent="0.35">
      <c r="A13" t="s">
        <v>13</v>
      </c>
      <c r="B13" s="1" t="s">
        <v>102</v>
      </c>
      <c r="C13" t="s">
        <v>103</v>
      </c>
      <c r="D13" s="7">
        <v>2</v>
      </c>
      <c r="E13" s="7">
        <v>4000</v>
      </c>
      <c r="F13" s="1">
        <f>E13*D13</f>
        <v>8000</v>
      </c>
    </row>
    <row r="14" spans="1:15" x14ac:dyDescent="0.35">
      <c r="B14" s="3">
        <v>46207</v>
      </c>
      <c r="C14" s="2"/>
      <c r="D14" s="1"/>
      <c r="E14" s="1"/>
      <c r="F14" s="1"/>
      <c r="K14" s="34" t="s">
        <v>0</v>
      </c>
      <c r="L14" s="34"/>
      <c r="M14" s="34"/>
      <c r="N14" s="34"/>
      <c r="O14" s="34"/>
    </row>
    <row r="15" spans="1:15" x14ac:dyDescent="0.35">
      <c r="B15" s="3">
        <v>46208</v>
      </c>
      <c r="C15" s="2"/>
      <c r="D15" s="1"/>
      <c r="E15" s="1"/>
      <c r="F15" s="1"/>
      <c r="K15" s="34"/>
      <c r="L15" s="34"/>
      <c r="M15" s="34"/>
      <c r="N15" s="34"/>
      <c r="O15" s="34"/>
    </row>
    <row r="16" spans="1:15" x14ac:dyDescent="0.35">
      <c r="B16" s="3">
        <v>46209</v>
      </c>
      <c r="C16" s="2"/>
      <c r="D16" s="1"/>
      <c r="E16" s="1"/>
      <c r="F16" s="1"/>
      <c r="K16" s="34"/>
      <c r="L16" s="34"/>
      <c r="M16" s="34"/>
      <c r="N16" s="34"/>
      <c r="O16" s="34"/>
    </row>
    <row r="17" spans="1:15" x14ac:dyDescent="0.35">
      <c r="B17" s="3"/>
      <c r="D17" s="1"/>
      <c r="E17" s="1"/>
      <c r="F17" s="1"/>
      <c r="K17" s="34"/>
      <c r="L17" s="34"/>
      <c r="M17" s="34"/>
      <c r="N17" s="34"/>
      <c r="O17" s="34"/>
    </row>
    <row r="18" spans="1:15" x14ac:dyDescent="0.35">
      <c r="B18" s="1"/>
      <c r="D18" s="1"/>
      <c r="E18" s="1"/>
      <c r="F18" s="1"/>
      <c r="K18" s="35" t="s">
        <v>108</v>
      </c>
      <c r="L18" s="35"/>
      <c r="M18" s="35"/>
      <c r="N18" s="35"/>
      <c r="O18" s="35"/>
    </row>
    <row r="19" spans="1:15" x14ac:dyDescent="0.35">
      <c r="A19" t="s">
        <v>35</v>
      </c>
      <c r="B19" s="1" t="s">
        <v>104</v>
      </c>
      <c r="C19" t="s">
        <v>105</v>
      </c>
      <c r="D19" s="1">
        <v>2</v>
      </c>
      <c r="E19" s="1">
        <v>4000</v>
      </c>
      <c r="F19" s="1">
        <f>E19*D19</f>
        <v>8000</v>
      </c>
      <c r="K19" s="35"/>
      <c r="L19" s="35"/>
      <c r="M19" s="35"/>
      <c r="N19" s="35"/>
      <c r="O19" s="35"/>
    </row>
    <row r="20" spans="1:15" x14ac:dyDescent="0.35">
      <c r="B20" s="1" t="s">
        <v>392</v>
      </c>
      <c r="D20" s="1"/>
      <c r="E20" s="1"/>
      <c r="F20" s="1"/>
    </row>
    <row r="21" spans="1:15" x14ac:dyDescent="0.35">
      <c r="B21" s="1" t="s">
        <v>492</v>
      </c>
      <c r="D21" s="1"/>
      <c r="E21" s="1"/>
      <c r="F21" s="1"/>
    </row>
    <row r="22" spans="1:15" x14ac:dyDescent="0.35">
      <c r="B22" s="1" t="s">
        <v>578</v>
      </c>
      <c r="D22" s="1"/>
      <c r="E22" s="1"/>
      <c r="F22" s="1"/>
    </row>
    <row r="23" spans="1:15" x14ac:dyDescent="0.35">
      <c r="B23" s="1"/>
      <c r="D23" s="1"/>
      <c r="E23" s="4" t="s">
        <v>99</v>
      </c>
      <c r="F23" s="4">
        <f>SUM(F9:F22)</f>
        <v>24000</v>
      </c>
    </row>
    <row r="24" spans="1:15" x14ac:dyDescent="0.35">
      <c r="B24" s="1"/>
      <c r="D24" s="1"/>
      <c r="E24" s="1" t="s">
        <v>107</v>
      </c>
      <c r="F24" s="7">
        <v>2500</v>
      </c>
    </row>
    <row r="25" spans="1:15" x14ac:dyDescent="0.35">
      <c r="B25" s="1"/>
      <c r="D25" s="1"/>
      <c r="E25" s="4" t="s">
        <v>87</v>
      </c>
      <c r="F25" s="17">
        <f>F23+F24</f>
        <v>26500</v>
      </c>
    </row>
    <row r="26" spans="1:15" x14ac:dyDescent="0.35">
      <c r="B26" s="1"/>
      <c r="D26" s="1"/>
      <c r="E26" s="1"/>
      <c r="F26" s="1"/>
    </row>
    <row r="29" spans="1:15" x14ac:dyDescent="0.35">
      <c r="B29" s="6" t="s">
        <v>107</v>
      </c>
      <c r="C29" s="12" t="s">
        <v>87</v>
      </c>
    </row>
    <row r="30" spans="1:15" x14ac:dyDescent="0.35">
      <c r="B30" s="6" t="s">
        <v>579</v>
      </c>
      <c r="C30" s="12">
        <v>2500</v>
      </c>
    </row>
  </sheetData>
  <mergeCells count="4">
    <mergeCell ref="A1:E4"/>
    <mergeCell ref="A5:E6"/>
    <mergeCell ref="K14:O17"/>
    <mergeCell ref="K18:O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D7DE-FFE2-49F4-A9F8-235EBD6F4C7B}">
  <dimension ref="A1:F38"/>
  <sheetViews>
    <sheetView topLeftCell="A21" workbookViewId="0">
      <selection activeCell="J13" sqref="J13"/>
    </sheetView>
  </sheetViews>
  <sheetFormatPr defaultRowHeight="14.5" x14ac:dyDescent="0.35"/>
  <cols>
    <col min="2" max="2" width="21.54296875" customWidth="1"/>
    <col min="5" max="5" width="11.26953125" customWidth="1"/>
  </cols>
  <sheetData>
    <row r="1" spans="1:6" ht="15.5" customHeight="1" x14ac:dyDescent="0.35">
      <c r="A1" s="34" t="s">
        <v>0</v>
      </c>
      <c r="B1" s="34"/>
      <c r="C1" s="34"/>
      <c r="D1" s="34"/>
      <c r="E1" s="34"/>
      <c r="F1" s="1"/>
    </row>
    <row r="2" spans="1:6" ht="15.5" customHeight="1" x14ac:dyDescent="0.35">
      <c r="A2" s="34"/>
      <c r="B2" s="34"/>
      <c r="C2" s="34"/>
      <c r="D2" s="34"/>
      <c r="E2" s="34"/>
      <c r="F2" s="1"/>
    </row>
    <row r="3" spans="1:6" ht="15.5" customHeight="1" x14ac:dyDescent="0.35">
      <c r="A3" s="34"/>
      <c r="B3" s="34"/>
      <c r="C3" s="34"/>
      <c r="D3" s="34"/>
      <c r="E3" s="34"/>
      <c r="F3" s="1"/>
    </row>
    <row r="4" spans="1:6" ht="15.5" customHeight="1" x14ac:dyDescent="0.35">
      <c r="A4" s="34"/>
      <c r="B4" s="34"/>
      <c r="C4" s="34"/>
      <c r="D4" s="34"/>
      <c r="E4" s="34"/>
      <c r="F4" s="1"/>
    </row>
    <row r="5" spans="1:6" ht="15.5" customHeight="1" x14ac:dyDescent="0.35">
      <c r="A5" s="35" t="s">
        <v>109</v>
      </c>
      <c r="B5" s="35"/>
      <c r="C5" s="35"/>
      <c r="D5" s="35"/>
      <c r="E5" s="35"/>
      <c r="F5" s="1"/>
    </row>
    <row r="6" spans="1:6" ht="15.5" customHeight="1" x14ac:dyDescent="0.35">
      <c r="A6" s="35"/>
      <c r="B6" s="35"/>
      <c r="C6" s="35"/>
      <c r="D6" s="35"/>
      <c r="E6" s="35"/>
      <c r="F6" s="1"/>
    </row>
    <row r="7" spans="1:6" x14ac:dyDescent="0.35">
      <c r="B7" s="1"/>
      <c r="C7" s="1"/>
      <c r="D7" s="1"/>
      <c r="E7" s="1"/>
      <c r="F7" s="1"/>
    </row>
    <row r="8" spans="1:6" x14ac:dyDescent="0.35">
      <c r="A8" t="s">
        <v>2</v>
      </c>
      <c r="B8" s="1" t="s">
        <v>110</v>
      </c>
      <c r="C8" s="1" t="s">
        <v>111</v>
      </c>
      <c r="D8" s="1" t="s">
        <v>112</v>
      </c>
      <c r="E8" s="1" t="s">
        <v>6</v>
      </c>
      <c r="F8" s="1" t="s">
        <v>7</v>
      </c>
    </row>
    <row r="9" spans="1:6" x14ac:dyDescent="0.35">
      <c r="B9" s="1" t="s">
        <v>115</v>
      </c>
      <c r="D9" s="1">
        <v>7</v>
      </c>
      <c r="E9" s="1">
        <v>4000</v>
      </c>
      <c r="F9">
        <f>E9*D9</f>
        <v>28000</v>
      </c>
    </row>
    <row r="10" spans="1:6" x14ac:dyDescent="0.35">
      <c r="B10" s="1" t="s">
        <v>116</v>
      </c>
      <c r="D10" s="1"/>
      <c r="E10" s="1"/>
    </row>
    <row r="11" spans="1:6" x14ac:dyDescent="0.35">
      <c r="B11" s="1" t="s">
        <v>117</v>
      </c>
      <c r="D11" s="1"/>
      <c r="E11" s="1"/>
    </row>
    <row r="12" spans="1:6" x14ac:dyDescent="0.35">
      <c r="B12" s="1" t="s">
        <v>118</v>
      </c>
      <c r="D12" s="1"/>
      <c r="E12" s="1"/>
    </row>
    <row r="13" spans="1:6" x14ac:dyDescent="0.35">
      <c r="B13" s="1" t="s">
        <v>239</v>
      </c>
      <c r="D13" s="1"/>
      <c r="E13" s="1"/>
    </row>
    <row r="14" spans="1:6" x14ac:dyDescent="0.35">
      <c r="B14" s="1" t="s">
        <v>240</v>
      </c>
      <c r="D14" s="1"/>
      <c r="E14" s="1"/>
    </row>
    <row r="15" spans="1:6" x14ac:dyDescent="0.35">
      <c r="B15" s="1" t="s">
        <v>407</v>
      </c>
      <c r="D15" s="1"/>
      <c r="E15" s="1"/>
    </row>
    <row r="16" spans="1:6" x14ac:dyDescent="0.35">
      <c r="B16" s="1" t="s">
        <v>491</v>
      </c>
      <c r="D16" s="1"/>
      <c r="E16" s="1"/>
    </row>
    <row r="17" spans="1:6" x14ac:dyDescent="0.35">
      <c r="B17" s="1" t="s">
        <v>588</v>
      </c>
      <c r="D17" s="1"/>
      <c r="E17" s="1"/>
    </row>
    <row r="18" spans="1:6" x14ac:dyDescent="0.35">
      <c r="B18" s="1"/>
      <c r="D18" s="1"/>
      <c r="E18" s="1"/>
    </row>
    <row r="19" spans="1:6" x14ac:dyDescent="0.35">
      <c r="A19" t="s">
        <v>30</v>
      </c>
      <c r="B19" s="1" t="s">
        <v>113</v>
      </c>
      <c r="C19" t="s">
        <v>114</v>
      </c>
      <c r="D19" s="1"/>
      <c r="E19" s="1"/>
    </row>
    <row r="20" spans="1:6" x14ac:dyDescent="0.35">
      <c r="B20" s="3">
        <v>46001</v>
      </c>
      <c r="D20" s="1">
        <v>7</v>
      </c>
      <c r="E20" s="1">
        <v>4000</v>
      </c>
      <c r="F20">
        <f>E20*D20</f>
        <v>28000</v>
      </c>
    </row>
    <row r="21" spans="1:6" x14ac:dyDescent="0.35">
      <c r="B21" s="3">
        <v>46002</v>
      </c>
      <c r="D21" s="1"/>
      <c r="E21" s="1"/>
    </row>
    <row r="22" spans="1:6" x14ac:dyDescent="0.35">
      <c r="B22" s="3">
        <v>46003</v>
      </c>
      <c r="D22" s="1"/>
      <c r="E22" s="1"/>
    </row>
    <row r="23" spans="1:6" x14ac:dyDescent="0.35">
      <c r="A23" s="13" t="s">
        <v>40</v>
      </c>
      <c r="B23" s="3">
        <v>46357</v>
      </c>
      <c r="D23" s="1"/>
      <c r="E23" s="1"/>
    </row>
    <row r="24" spans="1:6" x14ac:dyDescent="0.35">
      <c r="A24" t="s">
        <v>510</v>
      </c>
      <c r="B24" s="3">
        <v>46358</v>
      </c>
      <c r="D24" s="1"/>
      <c r="E24" s="1"/>
    </row>
    <row r="25" spans="1:6" x14ac:dyDescent="0.35">
      <c r="B25" s="3">
        <v>46359</v>
      </c>
      <c r="D25" s="1"/>
      <c r="E25" s="1"/>
    </row>
    <row r="26" spans="1:6" x14ac:dyDescent="0.35">
      <c r="B26" s="3">
        <v>46360</v>
      </c>
      <c r="D26" s="1"/>
      <c r="E26" s="1"/>
    </row>
    <row r="27" spans="1:6" x14ac:dyDescent="0.35">
      <c r="B27" s="3">
        <v>46361</v>
      </c>
      <c r="D27" s="1"/>
      <c r="E27" s="1"/>
    </row>
    <row r="28" spans="1:6" x14ac:dyDescent="0.35">
      <c r="B28" s="1"/>
      <c r="D28" s="1"/>
      <c r="E28" s="4" t="s">
        <v>87</v>
      </c>
      <c r="F28" s="4">
        <f>SUM(F9:F27)</f>
        <v>56000</v>
      </c>
    </row>
    <row r="29" spans="1:6" x14ac:dyDescent="0.35">
      <c r="B29" s="1"/>
      <c r="D29" s="1"/>
      <c r="E29" s="6" t="s">
        <v>17</v>
      </c>
      <c r="F29" s="6">
        <v>48000</v>
      </c>
    </row>
    <row r="30" spans="1:6" x14ac:dyDescent="0.35">
      <c r="B30" s="1"/>
      <c r="D30" s="1"/>
      <c r="E30" s="4" t="s">
        <v>350</v>
      </c>
      <c r="F30" s="4">
        <f>F28-F29</f>
        <v>8000</v>
      </c>
    </row>
    <row r="31" spans="1:6" x14ac:dyDescent="0.35">
      <c r="B31" s="1"/>
      <c r="D31" s="1"/>
    </row>
    <row r="32" spans="1:6" x14ac:dyDescent="0.35">
      <c r="B32" s="1"/>
      <c r="C32" s="1"/>
    </row>
    <row r="33" spans="2:5" x14ac:dyDescent="0.35">
      <c r="B33" s="6" t="s">
        <v>75</v>
      </c>
      <c r="C33" s="6" t="s">
        <v>6</v>
      </c>
    </row>
    <row r="34" spans="2:5" x14ac:dyDescent="0.35">
      <c r="B34" s="6" t="s">
        <v>297</v>
      </c>
      <c r="C34" s="6">
        <v>24000</v>
      </c>
    </row>
    <row r="35" spans="2:5" x14ac:dyDescent="0.35">
      <c r="B35" s="6" t="s">
        <v>521</v>
      </c>
      <c r="C35" s="6">
        <v>24000</v>
      </c>
      <c r="E35" s="1"/>
    </row>
    <row r="36" spans="2:5" x14ac:dyDescent="0.35">
      <c r="B36" s="6"/>
      <c r="C36" s="6"/>
      <c r="E36" s="1"/>
    </row>
    <row r="37" spans="2:5" x14ac:dyDescent="0.35">
      <c r="B37" s="6" t="s">
        <v>87</v>
      </c>
      <c r="C37" s="12">
        <f>SUM(C34:C36)</f>
        <v>48000</v>
      </c>
      <c r="D37" s="1"/>
    </row>
    <row r="38" spans="2:5" x14ac:dyDescent="0.35">
      <c r="B38" s="1"/>
      <c r="D38" s="1"/>
    </row>
  </sheetData>
  <mergeCells count="2">
    <mergeCell ref="A1:E4"/>
    <mergeCell ref="A5:E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3FD0-DCA2-4DA7-B732-4B8C00DE0DDA}">
  <dimension ref="A1:F32"/>
  <sheetViews>
    <sheetView workbookViewId="0">
      <selection activeCell="I12" sqref="I12"/>
    </sheetView>
  </sheetViews>
  <sheetFormatPr defaultRowHeight="14.5" x14ac:dyDescent="0.35"/>
  <cols>
    <col min="1" max="1" width="9.7265625" customWidth="1"/>
    <col min="2" max="2" width="23.632812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8" t="s">
        <v>130</v>
      </c>
      <c r="B5" s="38"/>
      <c r="C5" s="38"/>
      <c r="D5" s="38"/>
      <c r="E5" s="38"/>
    </row>
    <row r="6" spans="1:6" x14ac:dyDescent="0.35">
      <c r="A6" s="38"/>
      <c r="B6" s="38"/>
      <c r="C6" s="38"/>
      <c r="D6" s="38"/>
      <c r="E6" s="38"/>
    </row>
    <row r="7" spans="1:6" x14ac:dyDescent="0.35">
      <c r="A7" t="s">
        <v>132</v>
      </c>
      <c r="B7" s="1" t="s">
        <v>133</v>
      </c>
      <c r="C7" s="1" t="s">
        <v>131</v>
      </c>
      <c r="D7" s="1">
        <v>4</v>
      </c>
      <c r="E7" s="1">
        <v>4000</v>
      </c>
      <c r="F7" s="1">
        <f>E7*D7</f>
        <v>16000</v>
      </c>
    </row>
    <row r="8" spans="1:6" x14ac:dyDescent="0.35">
      <c r="B8" s="1" t="s">
        <v>143</v>
      </c>
      <c r="C8" s="1"/>
      <c r="D8" s="1"/>
      <c r="E8" s="1"/>
      <c r="F8" s="1"/>
    </row>
    <row r="9" spans="1:6" x14ac:dyDescent="0.35">
      <c r="B9" s="1" t="s">
        <v>144</v>
      </c>
      <c r="C9" s="1"/>
      <c r="D9" s="1"/>
      <c r="E9" s="1"/>
      <c r="F9" s="1"/>
    </row>
    <row r="10" spans="1:6" x14ac:dyDescent="0.35">
      <c r="A10" s="13" t="s">
        <v>40</v>
      </c>
      <c r="B10" s="1" t="s">
        <v>145</v>
      </c>
      <c r="C10" s="1"/>
      <c r="D10" s="1"/>
      <c r="E10" s="1"/>
      <c r="F10" s="1"/>
    </row>
    <row r="11" spans="1:6" x14ac:dyDescent="0.35">
      <c r="A11" t="s">
        <v>97</v>
      </c>
      <c r="B11" s="1" t="s">
        <v>146</v>
      </c>
      <c r="C11" s="1"/>
      <c r="D11" s="1"/>
      <c r="E11" s="1"/>
      <c r="F11" s="1"/>
    </row>
    <row r="12" spans="1:6" x14ac:dyDescent="0.35">
      <c r="B12" s="1" t="s">
        <v>207</v>
      </c>
      <c r="C12" s="1"/>
      <c r="D12" s="1"/>
      <c r="E12" s="1"/>
      <c r="F12" s="1"/>
    </row>
    <row r="13" spans="1:6" x14ac:dyDescent="0.35">
      <c r="B13" s="1"/>
      <c r="C13" s="1"/>
      <c r="D13" s="1"/>
      <c r="E13" s="1"/>
      <c r="F13" s="1"/>
    </row>
    <row r="14" spans="1:6" x14ac:dyDescent="0.35">
      <c r="A14" t="s">
        <v>134</v>
      </c>
      <c r="B14" s="1" t="s">
        <v>135</v>
      </c>
      <c r="C14" s="1" t="s">
        <v>136</v>
      </c>
      <c r="D14" s="1">
        <v>4</v>
      </c>
      <c r="E14" s="1">
        <v>4000</v>
      </c>
      <c r="F14" s="1">
        <f>E14*D14</f>
        <v>16000</v>
      </c>
    </row>
    <row r="15" spans="1:6" x14ac:dyDescent="0.35">
      <c r="B15" s="3">
        <v>45879</v>
      </c>
      <c r="C15" s="1"/>
      <c r="D15" s="1"/>
      <c r="E15" s="1"/>
      <c r="F15" s="1"/>
    </row>
    <row r="16" spans="1:6" x14ac:dyDescent="0.35">
      <c r="A16" s="13" t="s">
        <v>40</v>
      </c>
      <c r="B16" s="3">
        <v>45880</v>
      </c>
      <c r="C16" s="1"/>
      <c r="D16" s="1"/>
      <c r="E16" s="1"/>
      <c r="F16" s="1"/>
    </row>
    <row r="17" spans="1:6" x14ac:dyDescent="0.35">
      <c r="A17" t="s">
        <v>206</v>
      </c>
      <c r="B17" s="3">
        <v>45881</v>
      </c>
      <c r="C17" s="1"/>
      <c r="D17" s="1"/>
      <c r="E17" s="1"/>
      <c r="F17" s="1"/>
    </row>
    <row r="18" spans="1:6" x14ac:dyDescent="0.35">
      <c r="B18" s="3">
        <v>46235</v>
      </c>
      <c r="C18" s="1"/>
      <c r="D18" s="1"/>
      <c r="E18" s="1"/>
      <c r="F18" s="1"/>
    </row>
    <row r="19" spans="1:6" x14ac:dyDescent="0.35">
      <c r="B19" s="3">
        <v>46236</v>
      </c>
      <c r="C19" s="1"/>
      <c r="D19" s="1"/>
      <c r="E19" s="1"/>
      <c r="F19" s="1"/>
    </row>
    <row r="20" spans="1:6" x14ac:dyDescent="0.35">
      <c r="B20" s="1"/>
    </row>
    <row r="21" spans="1:6" x14ac:dyDescent="0.35">
      <c r="B21" s="1"/>
      <c r="E21" s="4" t="s">
        <v>7</v>
      </c>
      <c r="F21" s="17">
        <f>SUM(F7:F20)</f>
        <v>32000</v>
      </c>
    </row>
    <row r="22" spans="1:6" x14ac:dyDescent="0.35">
      <c r="B22" s="1"/>
      <c r="E22" t="s">
        <v>17</v>
      </c>
    </row>
    <row r="23" spans="1:6" x14ac:dyDescent="0.35">
      <c r="B23" s="1"/>
      <c r="E23" s="12" t="s">
        <v>19</v>
      </c>
      <c r="F23" s="18">
        <f>F21-F22</f>
        <v>32000</v>
      </c>
    </row>
    <row r="24" spans="1:6" x14ac:dyDescent="0.35">
      <c r="B24" s="1"/>
    </row>
    <row r="25" spans="1:6" x14ac:dyDescent="0.35">
      <c r="B25" s="1"/>
    </row>
    <row r="28" spans="1:6" x14ac:dyDescent="0.35">
      <c r="B28" s="1"/>
    </row>
    <row r="29" spans="1:6" x14ac:dyDescent="0.35">
      <c r="B29" s="1"/>
    </row>
    <row r="30" spans="1:6" x14ac:dyDescent="0.35">
      <c r="B30" s="1"/>
    </row>
    <row r="31" spans="1:6" x14ac:dyDescent="0.35">
      <c r="B31" s="1"/>
    </row>
    <row r="32" spans="1:6" x14ac:dyDescent="0.35">
      <c r="B32" s="1"/>
    </row>
  </sheetData>
  <mergeCells count="2">
    <mergeCell ref="A1:E4"/>
    <mergeCell ref="A5:E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8ABD-FA0B-4BC6-9067-742639F66F14}">
  <dimension ref="A1:F43"/>
  <sheetViews>
    <sheetView workbookViewId="0">
      <selection activeCell="F9" sqref="F9"/>
    </sheetView>
  </sheetViews>
  <sheetFormatPr defaultRowHeight="14.5" x14ac:dyDescent="0.35"/>
  <cols>
    <col min="2" max="2" width="26.81640625" customWidth="1"/>
    <col min="5" max="5" width="15.179687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8" t="s">
        <v>120</v>
      </c>
      <c r="B5" s="38"/>
      <c r="C5" s="38"/>
      <c r="D5" s="38"/>
      <c r="E5" s="38"/>
    </row>
    <row r="6" spans="1:6" x14ac:dyDescent="0.35">
      <c r="A6" s="38"/>
      <c r="B6" s="38"/>
      <c r="C6" s="38"/>
      <c r="D6" s="38"/>
      <c r="E6" s="38"/>
    </row>
    <row r="9" spans="1:6" x14ac:dyDescent="0.35">
      <c r="A9" t="s">
        <v>2</v>
      </c>
      <c r="B9" s="1" t="s">
        <v>121</v>
      </c>
      <c r="C9" s="1" t="s">
        <v>122</v>
      </c>
      <c r="D9" s="1" t="s">
        <v>5</v>
      </c>
      <c r="E9" s="1" t="s">
        <v>123</v>
      </c>
      <c r="F9" s="1" t="s">
        <v>7</v>
      </c>
    </row>
    <row r="10" spans="1:6" x14ac:dyDescent="0.35">
      <c r="B10" s="1" t="s">
        <v>124</v>
      </c>
      <c r="C10" s="1"/>
      <c r="D10" s="7">
        <v>6</v>
      </c>
      <c r="E10" s="1">
        <v>4000</v>
      </c>
      <c r="F10" s="1">
        <f>D10*E10</f>
        <v>24000</v>
      </c>
    </row>
    <row r="11" spans="1:6" x14ac:dyDescent="0.35">
      <c r="B11" s="1" t="s">
        <v>137</v>
      </c>
      <c r="C11" s="1"/>
      <c r="D11" s="1"/>
      <c r="E11" s="1"/>
      <c r="F11" s="1"/>
    </row>
    <row r="12" spans="1:6" x14ac:dyDescent="0.35">
      <c r="B12" s="1" t="s">
        <v>138</v>
      </c>
      <c r="C12" s="1"/>
      <c r="D12" s="1"/>
      <c r="E12" s="1"/>
      <c r="F12" s="1"/>
    </row>
    <row r="13" spans="1:6" x14ac:dyDescent="0.35">
      <c r="B13" s="1" t="s">
        <v>139</v>
      </c>
      <c r="C13" s="1"/>
      <c r="D13" s="1"/>
      <c r="E13" s="1"/>
      <c r="F13" s="1"/>
    </row>
    <row r="14" spans="1:6" x14ac:dyDescent="0.35">
      <c r="B14" s="1" t="s">
        <v>208</v>
      </c>
      <c r="C14" s="1"/>
      <c r="D14" s="1"/>
      <c r="E14" s="1"/>
      <c r="F14" s="1"/>
    </row>
    <row r="15" spans="1:6" x14ac:dyDescent="0.35">
      <c r="B15" s="1" t="s">
        <v>353</v>
      </c>
      <c r="C15" s="1"/>
      <c r="D15" s="1"/>
      <c r="E15" s="1"/>
      <c r="F15" s="1"/>
    </row>
    <row r="16" spans="1:6" x14ac:dyDescent="0.35">
      <c r="B16" s="1" t="s">
        <v>399</v>
      </c>
      <c r="C16" s="1"/>
      <c r="D16" s="1"/>
      <c r="E16" s="1"/>
      <c r="F16" s="1"/>
    </row>
    <row r="17" spans="1:6" x14ac:dyDescent="0.35">
      <c r="B17" s="1"/>
      <c r="C17" s="1"/>
      <c r="D17" s="1"/>
      <c r="E17" s="1"/>
      <c r="F17" s="1"/>
    </row>
    <row r="18" spans="1:6" x14ac:dyDescent="0.35">
      <c r="A18" t="s">
        <v>30</v>
      </c>
      <c r="B18" s="1" t="s">
        <v>125</v>
      </c>
      <c r="C18" s="1" t="s">
        <v>126</v>
      </c>
      <c r="D18" s="7">
        <v>6</v>
      </c>
      <c r="E18" s="1">
        <v>4000</v>
      </c>
      <c r="F18" s="1">
        <f>D18*E18</f>
        <v>24000</v>
      </c>
    </row>
    <row r="19" spans="1:6" x14ac:dyDescent="0.35">
      <c r="B19" s="3">
        <v>45667</v>
      </c>
      <c r="C19" s="1"/>
      <c r="D19" s="1"/>
      <c r="E19" s="1"/>
      <c r="F19" s="1"/>
    </row>
    <row r="20" spans="1:6" x14ac:dyDescent="0.35">
      <c r="B20" s="3">
        <v>45668</v>
      </c>
      <c r="C20" s="1"/>
      <c r="D20" s="1"/>
      <c r="E20" s="1"/>
      <c r="F20" s="1"/>
    </row>
    <row r="21" spans="1:6" x14ac:dyDescent="0.35">
      <c r="B21" s="3">
        <v>45669</v>
      </c>
      <c r="C21" s="1"/>
      <c r="D21" s="1"/>
      <c r="E21" s="1"/>
      <c r="F21" s="1"/>
    </row>
    <row r="22" spans="1:6" x14ac:dyDescent="0.35">
      <c r="B22" s="3">
        <v>46023</v>
      </c>
      <c r="C22" s="1"/>
      <c r="D22" s="1"/>
      <c r="E22" s="1"/>
      <c r="F22" s="1"/>
    </row>
    <row r="23" spans="1:6" x14ac:dyDescent="0.35">
      <c r="B23" s="3">
        <v>46024</v>
      </c>
      <c r="C23" s="1"/>
      <c r="D23" s="1"/>
      <c r="E23" s="1"/>
      <c r="F23" s="1"/>
    </row>
    <row r="24" spans="1:6" x14ac:dyDescent="0.35">
      <c r="B24" s="3">
        <v>46025</v>
      </c>
      <c r="C24" s="1"/>
      <c r="D24" s="1"/>
      <c r="E24" s="1"/>
      <c r="F24" s="1"/>
    </row>
    <row r="25" spans="1:6" x14ac:dyDescent="0.35">
      <c r="B25" s="3">
        <v>46026</v>
      </c>
      <c r="C25" s="1"/>
      <c r="D25" s="1"/>
      <c r="E25" s="1"/>
      <c r="F25" s="1"/>
    </row>
    <row r="26" spans="1:6" x14ac:dyDescent="0.35">
      <c r="B26" s="3"/>
      <c r="C26" s="1"/>
      <c r="D26" s="1"/>
      <c r="E26" s="1"/>
      <c r="F26" s="1"/>
    </row>
    <row r="27" spans="1:6" x14ac:dyDescent="0.35">
      <c r="A27" t="s">
        <v>35</v>
      </c>
      <c r="B27" s="1" t="s">
        <v>127</v>
      </c>
      <c r="C27" s="1" t="s">
        <v>128</v>
      </c>
      <c r="D27" s="1">
        <v>6</v>
      </c>
      <c r="E27" s="1">
        <v>4000</v>
      </c>
      <c r="F27" s="1">
        <f>E27*D27</f>
        <v>24000</v>
      </c>
    </row>
    <row r="28" spans="1:6" x14ac:dyDescent="0.35">
      <c r="B28" s="1" t="s">
        <v>129</v>
      </c>
      <c r="C28" s="1"/>
      <c r="D28" s="1"/>
      <c r="E28" s="1"/>
      <c r="F28" s="1"/>
    </row>
    <row r="29" spans="1:6" x14ac:dyDescent="0.35">
      <c r="B29" s="1" t="s">
        <v>140</v>
      </c>
      <c r="C29" s="1"/>
      <c r="D29" s="1"/>
      <c r="E29" s="1"/>
      <c r="F29" s="1"/>
    </row>
    <row r="30" spans="1:6" x14ac:dyDescent="0.35">
      <c r="B30" s="1" t="s">
        <v>141</v>
      </c>
      <c r="C30" s="1"/>
      <c r="D30" s="1"/>
      <c r="E30" s="1"/>
      <c r="F30" s="1"/>
    </row>
    <row r="31" spans="1:6" x14ac:dyDescent="0.35">
      <c r="B31" s="1" t="s">
        <v>142</v>
      </c>
      <c r="C31" s="1"/>
      <c r="D31" s="1"/>
      <c r="E31" s="1"/>
      <c r="F31" s="1"/>
    </row>
    <row r="32" spans="1:6" x14ac:dyDescent="0.35">
      <c r="B32" s="1" t="s">
        <v>400</v>
      </c>
      <c r="C32" s="1"/>
      <c r="D32" s="1"/>
      <c r="E32" s="1"/>
      <c r="F32" s="1"/>
    </row>
    <row r="33" spans="2:6" x14ac:dyDescent="0.35">
      <c r="B33" s="1" t="s">
        <v>401</v>
      </c>
      <c r="C33" s="1"/>
      <c r="D33" s="1"/>
      <c r="E33" s="1"/>
      <c r="F33" s="1"/>
    </row>
    <row r="34" spans="2:6" x14ac:dyDescent="0.35">
      <c r="B34" s="1" t="s">
        <v>402</v>
      </c>
      <c r="C34" s="1"/>
      <c r="D34" s="1"/>
      <c r="E34" s="1"/>
      <c r="F34" s="1"/>
    </row>
    <row r="35" spans="2:6" x14ac:dyDescent="0.35">
      <c r="B35" s="1"/>
      <c r="C35" s="1"/>
      <c r="D35" s="1"/>
      <c r="E35" s="1"/>
      <c r="F35" s="1"/>
    </row>
    <row r="36" spans="2:6" x14ac:dyDescent="0.35">
      <c r="B36" s="1"/>
    </row>
    <row r="37" spans="2:6" x14ac:dyDescent="0.35">
      <c r="B37" s="1"/>
    </row>
    <row r="39" spans="2:6" x14ac:dyDescent="0.35">
      <c r="E39" s="4" t="s">
        <v>209</v>
      </c>
      <c r="F39" s="17">
        <f>SUM(F10:F38)</f>
        <v>72000</v>
      </c>
    </row>
    <row r="40" spans="2:6" ht="18.5" x14ac:dyDescent="0.45">
      <c r="E40" s="21" t="s">
        <v>210</v>
      </c>
      <c r="F40">
        <v>32000</v>
      </c>
    </row>
    <row r="41" spans="2:6" x14ac:dyDescent="0.35">
      <c r="E41" s="14" t="s">
        <v>87</v>
      </c>
      <c r="F41" s="22">
        <f>F40+F39</f>
        <v>104000</v>
      </c>
    </row>
    <row r="42" spans="2:6" x14ac:dyDescent="0.35">
      <c r="E42" t="s">
        <v>119</v>
      </c>
      <c r="F42">
        <v>23500</v>
      </c>
    </row>
    <row r="43" spans="2:6" x14ac:dyDescent="0.35">
      <c r="E43" s="12" t="s">
        <v>99</v>
      </c>
      <c r="F43" s="18">
        <f>F41+F42</f>
        <v>127500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8B7A-E640-454E-BA1E-752899E4EE69}">
  <dimension ref="A1:F10"/>
  <sheetViews>
    <sheetView topLeftCell="A4" workbookViewId="0">
      <selection activeCell="C17" sqref="C17"/>
    </sheetView>
  </sheetViews>
  <sheetFormatPr defaultRowHeight="14.5" x14ac:dyDescent="0.35"/>
  <cols>
    <col min="2" max="2" width="14.8164062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8" t="s">
        <v>153</v>
      </c>
      <c r="B5" s="38"/>
      <c r="C5" s="38"/>
      <c r="D5" s="38"/>
      <c r="E5" s="38"/>
    </row>
    <row r="6" spans="1:6" x14ac:dyDescent="0.35">
      <c r="A6" s="38"/>
      <c r="B6" s="38"/>
      <c r="C6" s="38"/>
      <c r="D6" s="38"/>
      <c r="E6" s="38"/>
    </row>
    <row r="8" spans="1:6" x14ac:dyDescent="0.35">
      <c r="A8" t="s">
        <v>158</v>
      </c>
      <c r="B8" s="1" t="s">
        <v>154</v>
      </c>
      <c r="C8" t="s">
        <v>155</v>
      </c>
      <c r="D8" s="16">
        <v>1</v>
      </c>
      <c r="E8" s="7">
        <v>4000</v>
      </c>
      <c r="F8">
        <f>E8*D8</f>
        <v>4000</v>
      </c>
    </row>
    <row r="9" spans="1:6" x14ac:dyDescent="0.35">
      <c r="B9" s="3">
        <v>46026</v>
      </c>
      <c r="E9" s="1"/>
    </row>
    <row r="10" spans="1:6" x14ac:dyDescent="0.35">
      <c r="B10" s="3">
        <v>46027</v>
      </c>
      <c r="E10" s="1"/>
    </row>
  </sheetData>
  <mergeCells count="2">
    <mergeCell ref="A1:E4"/>
    <mergeCell ref="A5:E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96B7-F3BE-4C55-AC69-74EB2D884D79}">
  <dimension ref="A1:F56"/>
  <sheetViews>
    <sheetView topLeftCell="A40" workbookViewId="0">
      <selection activeCell="J17" sqref="J17"/>
    </sheetView>
  </sheetViews>
  <sheetFormatPr defaultRowHeight="14.5" x14ac:dyDescent="0.35"/>
  <cols>
    <col min="1" max="1" width="9.453125" bestFit="1" customWidth="1"/>
    <col min="2" max="2" width="17.6328125" style="1" customWidth="1"/>
    <col min="3" max="3" width="11.7265625" customWidth="1"/>
    <col min="4" max="5" width="8.7265625" style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8" t="s">
        <v>161</v>
      </c>
      <c r="B5" s="38"/>
      <c r="C5" s="38"/>
      <c r="D5" s="38"/>
      <c r="E5" s="38"/>
    </row>
    <row r="6" spans="1:6" x14ac:dyDescent="0.35">
      <c r="A6" s="38"/>
      <c r="B6" s="38"/>
      <c r="C6" s="38"/>
      <c r="D6" s="38"/>
      <c r="E6" s="38"/>
    </row>
    <row r="8" spans="1:6" x14ac:dyDescent="0.35">
      <c r="A8" t="s">
        <v>2</v>
      </c>
      <c r="B8" s="1" t="s">
        <v>162</v>
      </c>
      <c r="C8" s="1" t="s">
        <v>163</v>
      </c>
      <c r="D8" s="1" t="s">
        <v>5</v>
      </c>
      <c r="E8" s="1" t="s">
        <v>123</v>
      </c>
      <c r="F8" s="1" t="s">
        <v>7</v>
      </c>
    </row>
    <row r="9" spans="1:6" x14ac:dyDescent="0.35">
      <c r="B9" s="3">
        <v>45756</v>
      </c>
      <c r="D9" s="1">
        <v>5</v>
      </c>
      <c r="E9" s="1">
        <v>4000</v>
      </c>
      <c r="F9">
        <f>E9*D9</f>
        <v>20000</v>
      </c>
    </row>
    <row r="10" spans="1:6" x14ac:dyDescent="0.35">
      <c r="B10" s="3">
        <v>45757</v>
      </c>
      <c r="E10" s="1" t="s">
        <v>157</v>
      </c>
      <c r="F10">
        <v>500</v>
      </c>
    </row>
    <row r="11" spans="1:6" x14ac:dyDescent="0.35">
      <c r="B11" s="3">
        <v>45758</v>
      </c>
    </row>
    <row r="12" spans="1:6" x14ac:dyDescent="0.35">
      <c r="B12" s="3">
        <v>45759</v>
      </c>
    </row>
    <row r="13" spans="1:6" x14ac:dyDescent="0.35">
      <c r="B13" s="3">
        <v>46113</v>
      </c>
    </row>
    <row r="14" spans="1:6" x14ac:dyDescent="0.35">
      <c r="B14" s="3">
        <v>46114</v>
      </c>
    </row>
    <row r="16" spans="1:6" x14ac:dyDescent="0.35">
      <c r="A16" t="s">
        <v>30</v>
      </c>
      <c r="B16" s="1" t="s">
        <v>164</v>
      </c>
      <c r="C16" t="s">
        <v>165</v>
      </c>
      <c r="D16" s="1">
        <v>3</v>
      </c>
      <c r="E16" s="1">
        <v>4000</v>
      </c>
      <c r="F16">
        <f>E16*D16</f>
        <v>12000</v>
      </c>
    </row>
    <row r="17" spans="1:6" x14ac:dyDescent="0.35">
      <c r="B17" s="1" t="s">
        <v>166</v>
      </c>
      <c r="E17" s="1" t="s">
        <v>157</v>
      </c>
      <c r="F17">
        <v>500</v>
      </c>
    </row>
    <row r="18" spans="1:6" x14ac:dyDescent="0.35">
      <c r="B18" s="1" t="s">
        <v>167</v>
      </c>
    </row>
    <row r="19" spans="1:6" x14ac:dyDescent="0.35">
      <c r="B19" s="1" t="s">
        <v>169</v>
      </c>
    </row>
    <row r="20" spans="1:6" x14ac:dyDescent="0.35">
      <c r="B20" s="1" t="s">
        <v>168</v>
      </c>
    </row>
    <row r="24" spans="1:6" x14ac:dyDescent="0.35">
      <c r="A24" t="s">
        <v>35</v>
      </c>
      <c r="B24" s="1" t="s">
        <v>170</v>
      </c>
      <c r="C24" t="s">
        <v>171</v>
      </c>
      <c r="D24" s="1">
        <v>3</v>
      </c>
      <c r="E24" s="1">
        <v>4000</v>
      </c>
      <c r="F24">
        <f>E24*D24</f>
        <v>12000</v>
      </c>
    </row>
    <row r="25" spans="1:6" x14ac:dyDescent="0.35">
      <c r="B25" s="3">
        <v>45788</v>
      </c>
      <c r="E25" s="1" t="s">
        <v>157</v>
      </c>
      <c r="F25">
        <v>500</v>
      </c>
    </row>
    <row r="26" spans="1:6" x14ac:dyDescent="0.35">
      <c r="B26" s="3">
        <v>45789</v>
      </c>
    </row>
    <row r="27" spans="1:6" x14ac:dyDescent="0.35">
      <c r="A27" s="13" t="s">
        <v>40</v>
      </c>
      <c r="B27" s="3">
        <v>46143</v>
      </c>
    </row>
    <row r="28" spans="1:6" x14ac:dyDescent="0.35">
      <c r="A28" t="s">
        <v>172</v>
      </c>
      <c r="B28" s="3">
        <v>46144</v>
      </c>
    </row>
    <row r="32" spans="1:6" x14ac:dyDescent="0.35">
      <c r="A32" t="s">
        <v>48</v>
      </c>
      <c r="B32" s="1" t="s">
        <v>173</v>
      </c>
      <c r="C32" t="s">
        <v>174</v>
      </c>
      <c r="D32" s="1">
        <v>3</v>
      </c>
      <c r="E32" s="1">
        <v>4000</v>
      </c>
      <c r="F32">
        <f>E32*D32</f>
        <v>12000</v>
      </c>
    </row>
    <row r="33" spans="1:6" x14ac:dyDescent="0.35">
      <c r="B33" s="3">
        <v>45819</v>
      </c>
      <c r="E33" s="1" t="s">
        <v>157</v>
      </c>
      <c r="F33">
        <v>500</v>
      </c>
    </row>
    <row r="34" spans="1:6" x14ac:dyDescent="0.35">
      <c r="A34" s="13" t="s">
        <v>40</v>
      </c>
      <c r="B34" s="3">
        <v>45820</v>
      </c>
    </row>
    <row r="35" spans="1:6" x14ac:dyDescent="0.35">
      <c r="A35" s="2">
        <v>46357</v>
      </c>
      <c r="B35" s="3">
        <v>46174</v>
      </c>
    </row>
    <row r="36" spans="1:6" x14ac:dyDescent="0.35">
      <c r="B36" s="3">
        <v>46175</v>
      </c>
    </row>
    <row r="38" spans="1:6" x14ac:dyDescent="0.35">
      <c r="A38" t="s">
        <v>51</v>
      </c>
      <c r="B38" s="1" t="s">
        <v>175</v>
      </c>
      <c r="C38" t="s">
        <v>176</v>
      </c>
      <c r="D38" s="1">
        <v>3</v>
      </c>
      <c r="E38" s="1">
        <v>4000</v>
      </c>
      <c r="F38">
        <f>E38*D38</f>
        <v>12000</v>
      </c>
    </row>
    <row r="39" spans="1:6" x14ac:dyDescent="0.35">
      <c r="B39" s="3">
        <v>45819</v>
      </c>
      <c r="E39" s="1" t="s">
        <v>157</v>
      </c>
      <c r="F39">
        <v>500</v>
      </c>
    </row>
    <row r="40" spans="1:6" x14ac:dyDescent="0.35">
      <c r="A40" s="13" t="s">
        <v>40</v>
      </c>
      <c r="B40" s="3">
        <v>45820</v>
      </c>
    </row>
    <row r="41" spans="1:6" x14ac:dyDescent="0.35">
      <c r="A41" s="2">
        <v>46357</v>
      </c>
      <c r="B41" s="3">
        <v>46174</v>
      </c>
    </row>
    <row r="42" spans="1:6" x14ac:dyDescent="0.35">
      <c r="B42" s="3">
        <v>46175</v>
      </c>
    </row>
    <row r="44" spans="1:6" x14ac:dyDescent="0.35">
      <c r="A44" t="s">
        <v>132</v>
      </c>
      <c r="B44" s="1" t="s">
        <v>177</v>
      </c>
      <c r="C44" t="s">
        <v>176</v>
      </c>
      <c r="D44" s="1">
        <v>3</v>
      </c>
      <c r="E44" s="1">
        <v>4000</v>
      </c>
      <c r="F44">
        <f>E44*D44</f>
        <v>12000</v>
      </c>
    </row>
    <row r="45" spans="1:6" x14ac:dyDescent="0.35">
      <c r="B45" s="3">
        <v>45819</v>
      </c>
      <c r="E45" s="1" t="s">
        <v>157</v>
      </c>
      <c r="F45">
        <v>500</v>
      </c>
    </row>
    <row r="46" spans="1:6" x14ac:dyDescent="0.35">
      <c r="A46" s="13" t="s">
        <v>40</v>
      </c>
      <c r="B46" s="3">
        <v>45820</v>
      </c>
    </row>
    <row r="47" spans="1:6" x14ac:dyDescent="0.35">
      <c r="A47" s="2">
        <v>46357</v>
      </c>
      <c r="B47" s="3">
        <v>46174</v>
      </c>
    </row>
    <row r="48" spans="1:6" x14ac:dyDescent="0.35">
      <c r="B48" s="3">
        <v>46175</v>
      </c>
    </row>
    <row r="50" spans="1:6" x14ac:dyDescent="0.35">
      <c r="A50" t="s">
        <v>178</v>
      </c>
      <c r="B50" s="1" t="s">
        <v>179</v>
      </c>
      <c r="C50" t="s">
        <v>180</v>
      </c>
      <c r="D50" s="1">
        <v>3</v>
      </c>
      <c r="E50" s="1">
        <v>4000</v>
      </c>
      <c r="F50">
        <f>E50*D50</f>
        <v>12000</v>
      </c>
    </row>
    <row r="51" spans="1:6" x14ac:dyDescent="0.35">
      <c r="B51" s="3">
        <v>45819</v>
      </c>
      <c r="E51" s="1" t="s">
        <v>157</v>
      </c>
      <c r="F51">
        <v>500</v>
      </c>
    </row>
    <row r="52" spans="1:6" x14ac:dyDescent="0.35">
      <c r="A52" s="13" t="s">
        <v>40</v>
      </c>
      <c r="B52" s="3">
        <v>45820</v>
      </c>
    </row>
    <row r="53" spans="1:6" x14ac:dyDescent="0.35">
      <c r="A53" s="2">
        <v>46357</v>
      </c>
      <c r="B53" s="3">
        <v>46174</v>
      </c>
    </row>
    <row r="54" spans="1:6" x14ac:dyDescent="0.35">
      <c r="B54" s="3">
        <v>46175</v>
      </c>
    </row>
    <row r="56" spans="1:6" x14ac:dyDescent="0.35">
      <c r="E56" s="6" t="s">
        <v>87</v>
      </c>
      <c r="F56" s="12">
        <f>SUM(F9:F55)</f>
        <v>95500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95E9-03D0-430B-B245-840DF535D1CE}">
  <dimension ref="A1:F80"/>
  <sheetViews>
    <sheetView tabSelected="1" topLeftCell="A64" workbookViewId="0">
      <selection sqref="A1:G81"/>
    </sheetView>
  </sheetViews>
  <sheetFormatPr defaultRowHeight="14.5" x14ac:dyDescent="0.35"/>
  <cols>
    <col min="1" max="1" width="9.08984375" customWidth="1"/>
    <col min="2" max="2" width="15.90625" style="1" customWidth="1"/>
    <col min="3" max="3" width="11.81640625" style="1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8" t="s">
        <v>161</v>
      </c>
      <c r="B5" s="38"/>
      <c r="C5" s="38"/>
      <c r="D5" s="38"/>
      <c r="E5" s="38"/>
    </row>
    <row r="6" spans="1:6" x14ac:dyDescent="0.35">
      <c r="A6" s="38"/>
      <c r="B6" s="38"/>
      <c r="C6" s="38"/>
      <c r="D6" s="38"/>
      <c r="E6" s="38"/>
    </row>
    <row r="7" spans="1:6" x14ac:dyDescent="0.35">
      <c r="D7" s="1"/>
      <c r="E7" s="1"/>
    </row>
    <row r="8" spans="1:6" x14ac:dyDescent="0.35">
      <c r="A8" t="s">
        <v>2</v>
      </c>
      <c r="B8" s="1" t="s">
        <v>162</v>
      </c>
      <c r="C8" s="1" t="s">
        <v>163</v>
      </c>
      <c r="D8" s="1" t="s">
        <v>5</v>
      </c>
      <c r="E8" s="1" t="s">
        <v>123</v>
      </c>
      <c r="F8" s="1" t="s">
        <v>7</v>
      </c>
    </row>
    <row r="9" spans="1:6" x14ac:dyDescent="0.35">
      <c r="B9" s="3">
        <v>46114</v>
      </c>
      <c r="D9">
        <v>5</v>
      </c>
      <c r="E9">
        <v>4000</v>
      </c>
      <c r="F9">
        <f>E9*D9</f>
        <v>20000</v>
      </c>
    </row>
    <row r="10" spans="1:6" x14ac:dyDescent="0.35">
      <c r="B10" s="3">
        <v>46115</v>
      </c>
    </row>
    <row r="11" spans="1:6" x14ac:dyDescent="0.35">
      <c r="B11" s="3">
        <v>46116</v>
      </c>
    </row>
    <row r="12" spans="1:6" x14ac:dyDescent="0.35">
      <c r="B12" s="3">
        <v>46117</v>
      </c>
    </row>
    <row r="13" spans="1:6" x14ac:dyDescent="0.35">
      <c r="B13" s="3">
        <v>46118</v>
      </c>
    </row>
    <row r="14" spans="1:6" x14ac:dyDescent="0.35">
      <c r="B14" s="3">
        <v>46119</v>
      </c>
    </row>
    <row r="15" spans="1:6" x14ac:dyDescent="0.35">
      <c r="B15" s="3"/>
    </row>
    <row r="16" spans="1:6" x14ac:dyDescent="0.35">
      <c r="A16" t="s">
        <v>30</v>
      </c>
      <c r="B16" s="1" t="s">
        <v>164</v>
      </c>
      <c r="C16" s="1" t="s">
        <v>165</v>
      </c>
    </row>
    <row r="17" spans="1:6" x14ac:dyDescent="0.35">
      <c r="B17" s="3">
        <v>46114</v>
      </c>
      <c r="D17">
        <v>5</v>
      </c>
      <c r="E17">
        <v>4000</v>
      </c>
      <c r="F17">
        <f>E17*D17</f>
        <v>20000</v>
      </c>
    </row>
    <row r="18" spans="1:6" x14ac:dyDescent="0.35">
      <c r="B18" s="3">
        <v>46115</v>
      </c>
    </row>
    <row r="19" spans="1:6" x14ac:dyDescent="0.35">
      <c r="B19" s="3">
        <v>46116</v>
      </c>
    </row>
    <row r="20" spans="1:6" x14ac:dyDescent="0.35">
      <c r="B20" s="3">
        <v>46117</v>
      </c>
    </row>
    <row r="21" spans="1:6" x14ac:dyDescent="0.35">
      <c r="B21" s="3">
        <v>46118</v>
      </c>
    </row>
    <row r="22" spans="1:6" x14ac:dyDescent="0.35">
      <c r="B22" s="3">
        <v>46119</v>
      </c>
    </row>
    <row r="24" spans="1:6" x14ac:dyDescent="0.35">
      <c r="A24" t="s">
        <v>35</v>
      </c>
      <c r="B24" s="1" t="s">
        <v>446</v>
      </c>
      <c r="C24" s="1" t="s">
        <v>447</v>
      </c>
      <c r="D24">
        <v>4</v>
      </c>
      <c r="E24">
        <v>4000</v>
      </c>
      <c r="F24">
        <f>E24*D24</f>
        <v>16000</v>
      </c>
    </row>
    <row r="25" spans="1:6" x14ac:dyDescent="0.35">
      <c r="B25" s="1" t="s">
        <v>313</v>
      </c>
    </row>
    <row r="26" spans="1:6" x14ac:dyDescent="0.35">
      <c r="B26" s="1" t="s">
        <v>314</v>
      </c>
    </row>
    <row r="27" spans="1:6" x14ac:dyDescent="0.35">
      <c r="B27" s="1" t="s">
        <v>434</v>
      </c>
    </row>
    <row r="28" spans="1:6" x14ac:dyDescent="0.35">
      <c r="B28" s="1" t="s">
        <v>475</v>
      </c>
    </row>
    <row r="29" spans="1:6" x14ac:dyDescent="0.35">
      <c r="B29" s="1" t="s">
        <v>526</v>
      </c>
    </row>
    <row r="32" spans="1:6" x14ac:dyDescent="0.35">
      <c r="A32" t="s">
        <v>48</v>
      </c>
      <c r="B32" s="1" t="s">
        <v>227</v>
      </c>
      <c r="C32" s="1" t="s">
        <v>450</v>
      </c>
      <c r="D32">
        <v>4</v>
      </c>
      <c r="E32">
        <v>4000</v>
      </c>
      <c r="F32">
        <f>E32*D32</f>
        <v>16000</v>
      </c>
    </row>
    <row r="33" spans="1:6" x14ac:dyDescent="0.35">
      <c r="B33" s="1" t="s">
        <v>189</v>
      </c>
    </row>
    <row r="34" spans="1:6" x14ac:dyDescent="0.35">
      <c r="B34" s="1" t="s">
        <v>238</v>
      </c>
    </row>
    <row r="35" spans="1:6" x14ac:dyDescent="0.35">
      <c r="B35" s="1" t="s">
        <v>396</v>
      </c>
    </row>
    <row r="36" spans="1:6" x14ac:dyDescent="0.35">
      <c r="B36" s="1" t="s">
        <v>474</v>
      </c>
    </row>
    <row r="37" spans="1:6" x14ac:dyDescent="0.35">
      <c r="B37" s="1" t="s">
        <v>517</v>
      </c>
    </row>
    <row r="39" spans="1:6" x14ac:dyDescent="0.35">
      <c r="A39" t="s">
        <v>51</v>
      </c>
      <c r="B39" s="1" t="s">
        <v>449</v>
      </c>
      <c r="C39" s="1" t="s">
        <v>448</v>
      </c>
      <c r="D39">
        <v>4</v>
      </c>
      <c r="E39">
        <v>4000</v>
      </c>
      <c r="F39">
        <f>E39*D39</f>
        <v>16000</v>
      </c>
    </row>
    <row r="40" spans="1:6" x14ac:dyDescent="0.35">
      <c r="B40" s="1" t="s">
        <v>189</v>
      </c>
    </row>
    <row r="41" spans="1:6" x14ac:dyDescent="0.35">
      <c r="B41" s="1" t="s">
        <v>238</v>
      </c>
    </row>
    <row r="42" spans="1:6" x14ac:dyDescent="0.35">
      <c r="B42" s="1" t="s">
        <v>396</v>
      </c>
    </row>
    <row r="43" spans="1:6" x14ac:dyDescent="0.35">
      <c r="B43" s="1" t="s">
        <v>474</v>
      </c>
    </row>
    <row r="44" spans="1:6" x14ac:dyDescent="0.35">
      <c r="B44" s="1" t="s">
        <v>594</v>
      </c>
    </row>
    <row r="46" spans="1:6" ht="15.5" customHeight="1" x14ac:dyDescent="0.35">
      <c r="A46" t="s">
        <v>132</v>
      </c>
      <c r="B46" s="1" t="s">
        <v>326</v>
      </c>
      <c r="C46" s="1" t="s">
        <v>451</v>
      </c>
      <c r="D46">
        <v>4</v>
      </c>
      <c r="E46">
        <v>4000</v>
      </c>
      <c r="F46">
        <f>E46*D46</f>
        <v>16000</v>
      </c>
    </row>
    <row r="47" spans="1:6" x14ac:dyDescent="0.35">
      <c r="B47" s="1" t="s">
        <v>452</v>
      </c>
    </row>
    <row r="48" spans="1:6" x14ac:dyDescent="0.35">
      <c r="B48" s="1" t="s">
        <v>453</v>
      </c>
    </row>
    <row r="49" spans="1:6" x14ac:dyDescent="0.35">
      <c r="B49" s="1" t="s">
        <v>454</v>
      </c>
    </row>
    <row r="50" spans="1:6" x14ac:dyDescent="0.35">
      <c r="B50" s="1" t="s">
        <v>473</v>
      </c>
    </row>
    <row r="51" spans="1:6" x14ac:dyDescent="0.35">
      <c r="B51" s="1" t="s">
        <v>594</v>
      </c>
    </row>
    <row r="53" spans="1:6" x14ac:dyDescent="0.35">
      <c r="A53" t="s">
        <v>178</v>
      </c>
      <c r="B53" s="1" t="s">
        <v>466</v>
      </c>
      <c r="C53" s="1" t="s">
        <v>320</v>
      </c>
      <c r="D53">
        <v>4</v>
      </c>
      <c r="E53">
        <v>4000</v>
      </c>
      <c r="F53">
        <f>E53*D53</f>
        <v>16000</v>
      </c>
    </row>
    <row r="54" spans="1:6" x14ac:dyDescent="0.35">
      <c r="B54" s="1" t="s">
        <v>239</v>
      </c>
    </row>
    <row r="55" spans="1:6" x14ac:dyDescent="0.35">
      <c r="B55" s="1" t="s">
        <v>240</v>
      </c>
    </row>
    <row r="56" spans="1:6" x14ac:dyDescent="0.35">
      <c r="B56" s="1" t="s">
        <v>398</v>
      </c>
    </row>
    <row r="57" spans="1:6" x14ac:dyDescent="0.35">
      <c r="B57" s="1" t="s">
        <v>491</v>
      </c>
    </row>
    <row r="58" spans="1:6" x14ac:dyDescent="0.35">
      <c r="B58" s="1" t="s">
        <v>588</v>
      </c>
    </row>
    <row r="60" spans="1:6" x14ac:dyDescent="0.35">
      <c r="A60" t="s">
        <v>134</v>
      </c>
      <c r="B60" s="1" t="s">
        <v>345</v>
      </c>
      <c r="C60" s="1" t="s">
        <v>467</v>
      </c>
      <c r="D60">
        <v>3</v>
      </c>
      <c r="E60">
        <v>4000</v>
      </c>
      <c r="F60">
        <f>E60*D60</f>
        <v>12000</v>
      </c>
    </row>
    <row r="61" spans="1:6" x14ac:dyDescent="0.35">
      <c r="B61" s="3">
        <v>46268</v>
      </c>
    </row>
    <row r="62" spans="1:6" x14ac:dyDescent="0.35">
      <c r="A62" s="13" t="s">
        <v>40</v>
      </c>
      <c r="B62" s="3">
        <v>46269</v>
      </c>
      <c r="E62" t="s">
        <v>157</v>
      </c>
      <c r="F62">
        <v>500</v>
      </c>
    </row>
    <row r="63" spans="1:6" x14ac:dyDescent="0.35">
      <c r="A63" t="s">
        <v>507</v>
      </c>
      <c r="B63" s="3">
        <v>46270</v>
      </c>
    </row>
    <row r="64" spans="1:6" x14ac:dyDescent="0.35">
      <c r="B64" s="3">
        <v>46271</v>
      </c>
    </row>
    <row r="66" spans="1:6" x14ac:dyDescent="0.35">
      <c r="A66" t="s">
        <v>468</v>
      </c>
      <c r="B66" s="1" t="s">
        <v>469</v>
      </c>
      <c r="C66" s="1" t="s">
        <v>80</v>
      </c>
      <c r="D66">
        <v>3</v>
      </c>
      <c r="E66">
        <v>4000</v>
      </c>
      <c r="F66">
        <f>E66*D66</f>
        <v>12000</v>
      </c>
    </row>
    <row r="67" spans="1:6" x14ac:dyDescent="0.35">
      <c r="B67" s="3">
        <v>46359</v>
      </c>
    </row>
    <row r="68" spans="1:6" x14ac:dyDescent="0.35">
      <c r="B68" s="3">
        <v>46360</v>
      </c>
    </row>
    <row r="69" spans="1:6" x14ac:dyDescent="0.35">
      <c r="B69" s="3">
        <v>46361</v>
      </c>
    </row>
    <row r="70" spans="1:6" x14ac:dyDescent="0.35">
      <c r="B70" s="3">
        <v>46362</v>
      </c>
    </row>
    <row r="73" spans="1:6" x14ac:dyDescent="0.35">
      <c r="A73" t="s">
        <v>470</v>
      </c>
      <c r="B73" s="1" t="s">
        <v>471</v>
      </c>
      <c r="C73" s="1" t="s">
        <v>472</v>
      </c>
      <c r="D73">
        <v>3</v>
      </c>
      <c r="E73">
        <v>4000</v>
      </c>
      <c r="F73">
        <f>E73*D73</f>
        <v>12000</v>
      </c>
    </row>
    <row r="74" spans="1:6" x14ac:dyDescent="0.35">
      <c r="B74" s="3">
        <v>46359</v>
      </c>
    </row>
    <row r="75" spans="1:6" x14ac:dyDescent="0.35">
      <c r="B75" s="3">
        <v>46360</v>
      </c>
    </row>
    <row r="76" spans="1:6" x14ac:dyDescent="0.35">
      <c r="B76" s="3">
        <v>46361</v>
      </c>
    </row>
    <row r="77" spans="1:6" x14ac:dyDescent="0.35">
      <c r="B77" s="3">
        <v>46362</v>
      </c>
    </row>
    <row r="78" spans="1:6" x14ac:dyDescent="0.35">
      <c r="E78" s="14" t="s">
        <v>87</v>
      </c>
      <c r="F78" s="14">
        <f>SUM(F9:F77)</f>
        <v>156500</v>
      </c>
    </row>
    <row r="79" spans="1:6" x14ac:dyDescent="0.35">
      <c r="E79" t="s">
        <v>159</v>
      </c>
      <c r="F79">
        <v>50000</v>
      </c>
    </row>
    <row r="80" spans="1:6" x14ac:dyDescent="0.35">
      <c r="E80" s="12" t="s">
        <v>19</v>
      </c>
      <c r="F80" s="12">
        <f>F78-F79</f>
        <v>106500</v>
      </c>
    </row>
  </sheetData>
  <mergeCells count="2">
    <mergeCell ref="A1:E4"/>
    <mergeCell ref="A5:E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4C26-543A-4259-8048-E1FC584DC664}">
  <dimension ref="A1:F72"/>
  <sheetViews>
    <sheetView topLeftCell="A52" zoomScale="103" workbookViewId="0">
      <selection activeCell="D57" sqref="D57"/>
    </sheetView>
  </sheetViews>
  <sheetFormatPr defaultRowHeight="14.5" x14ac:dyDescent="0.35"/>
  <cols>
    <col min="2" max="2" width="20.08984375" style="1" customWidth="1"/>
    <col min="3" max="3" width="11.1796875" customWidth="1"/>
    <col min="4" max="4" width="8.7265625" style="1"/>
  </cols>
  <sheetData>
    <row r="1" spans="1:6" ht="14.5" customHeight="1" x14ac:dyDescent="0.35">
      <c r="A1" s="34" t="s">
        <v>0</v>
      </c>
      <c r="B1" s="34"/>
      <c r="C1" s="34"/>
      <c r="D1" s="34"/>
      <c r="E1" s="34"/>
    </row>
    <row r="2" spans="1:6" ht="14.5" customHeight="1" x14ac:dyDescent="0.35">
      <c r="A2" s="34"/>
      <c r="B2" s="34"/>
      <c r="C2" s="34"/>
      <c r="D2" s="34"/>
      <c r="E2" s="34"/>
    </row>
    <row r="3" spans="1:6" ht="14.5" customHeight="1" x14ac:dyDescent="0.35">
      <c r="A3" s="34"/>
      <c r="B3" s="34"/>
      <c r="C3" s="34"/>
      <c r="D3" s="34"/>
      <c r="E3" s="34"/>
    </row>
    <row r="4" spans="1:6" ht="14.5" customHeight="1" x14ac:dyDescent="0.35">
      <c r="A4" s="34"/>
      <c r="B4" s="34"/>
      <c r="C4" s="34"/>
      <c r="D4" s="34"/>
      <c r="E4" s="34"/>
    </row>
    <row r="5" spans="1:6" x14ac:dyDescent="0.35">
      <c r="A5" s="38" t="s">
        <v>194</v>
      </c>
      <c r="B5" s="38"/>
      <c r="C5" s="38"/>
      <c r="D5" s="38"/>
      <c r="E5" s="38"/>
    </row>
    <row r="6" spans="1:6" x14ac:dyDescent="0.35">
      <c r="A6" s="38"/>
      <c r="B6" s="38"/>
      <c r="C6" s="38"/>
      <c r="D6" s="38"/>
      <c r="E6" s="38"/>
    </row>
    <row r="7" spans="1:6" x14ac:dyDescent="0.35">
      <c r="E7" s="1"/>
    </row>
    <row r="8" spans="1:6" x14ac:dyDescent="0.35">
      <c r="A8" t="s">
        <v>2</v>
      </c>
      <c r="B8" s="1" t="s">
        <v>181</v>
      </c>
      <c r="C8" s="1" t="s">
        <v>185</v>
      </c>
      <c r="D8" s="1" t="s">
        <v>5</v>
      </c>
      <c r="E8" s="1" t="s">
        <v>123</v>
      </c>
      <c r="F8" s="1" t="s">
        <v>7</v>
      </c>
    </row>
    <row r="9" spans="1:6" x14ac:dyDescent="0.35">
      <c r="B9" s="1" t="s">
        <v>116</v>
      </c>
      <c r="D9" s="1">
        <v>7</v>
      </c>
      <c r="E9">
        <v>4000</v>
      </c>
      <c r="F9">
        <f>E9*D9</f>
        <v>28000</v>
      </c>
    </row>
    <row r="10" spans="1:6" x14ac:dyDescent="0.35">
      <c r="B10" s="1" t="s">
        <v>117</v>
      </c>
    </row>
    <row r="11" spans="1:6" x14ac:dyDescent="0.35">
      <c r="B11" s="1" t="s">
        <v>118</v>
      </c>
    </row>
    <row r="12" spans="1:6" x14ac:dyDescent="0.35">
      <c r="B12" s="1" t="s">
        <v>239</v>
      </c>
    </row>
    <row r="13" spans="1:6" x14ac:dyDescent="0.35">
      <c r="B13" s="1" t="s">
        <v>240</v>
      </c>
    </row>
    <row r="14" spans="1:6" x14ac:dyDescent="0.35">
      <c r="B14" s="1" t="s">
        <v>398</v>
      </c>
    </row>
    <row r="15" spans="1:6" x14ac:dyDescent="0.35">
      <c r="B15" s="1" t="s">
        <v>491</v>
      </c>
    </row>
    <row r="16" spans="1:6" x14ac:dyDescent="0.35">
      <c r="B16" s="1" t="s">
        <v>588</v>
      </c>
    </row>
    <row r="18" spans="1:6" x14ac:dyDescent="0.35">
      <c r="A18" t="s">
        <v>182</v>
      </c>
      <c r="B18" s="1" t="s">
        <v>183</v>
      </c>
      <c r="C18" t="s">
        <v>184</v>
      </c>
      <c r="D18" s="1">
        <v>7</v>
      </c>
      <c r="E18">
        <v>4000</v>
      </c>
      <c r="F18">
        <f>E18*D18</f>
        <v>28000</v>
      </c>
    </row>
    <row r="19" spans="1:6" x14ac:dyDescent="0.35">
      <c r="B19" s="1" t="s">
        <v>167</v>
      </c>
    </row>
    <row r="20" spans="1:6" x14ac:dyDescent="0.35">
      <c r="B20" s="1" t="s">
        <v>169</v>
      </c>
    </row>
    <row r="21" spans="1:6" x14ac:dyDescent="0.35">
      <c r="B21" s="1" t="s">
        <v>168</v>
      </c>
    </row>
    <row r="22" spans="1:6" x14ac:dyDescent="0.35">
      <c r="B22" s="1" t="s">
        <v>241</v>
      </c>
    </row>
    <row r="23" spans="1:6" x14ac:dyDescent="0.35">
      <c r="B23" s="1" t="s">
        <v>330</v>
      </c>
    </row>
    <row r="24" spans="1:6" x14ac:dyDescent="0.35">
      <c r="B24" s="1" t="s">
        <v>397</v>
      </c>
    </row>
    <row r="25" spans="1:6" x14ac:dyDescent="0.35">
      <c r="B25" s="1" t="s">
        <v>493</v>
      </c>
    </row>
    <row r="26" spans="1:6" x14ac:dyDescent="0.35">
      <c r="B26" s="1" t="s">
        <v>587</v>
      </c>
    </row>
    <row r="28" spans="1:6" x14ac:dyDescent="0.35">
      <c r="A28" t="s">
        <v>35</v>
      </c>
      <c r="B28" s="1" t="s">
        <v>186</v>
      </c>
      <c r="C28" t="s">
        <v>180</v>
      </c>
      <c r="D28" s="1">
        <v>5</v>
      </c>
      <c r="E28">
        <v>4000</v>
      </c>
      <c r="F28">
        <f>E28*D28</f>
        <v>20000</v>
      </c>
    </row>
    <row r="29" spans="1:6" x14ac:dyDescent="0.35">
      <c r="B29" s="3">
        <v>46357</v>
      </c>
    </row>
    <row r="30" spans="1:6" x14ac:dyDescent="0.35">
      <c r="B30" s="3">
        <v>46358</v>
      </c>
    </row>
    <row r="31" spans="1:6" x14ac:dyDescent="0.35">
      <c r="B31" s="3">
        <v>46359</v>
      </c>
    </row>
    <row r="32" spans="1:6" x14ac:dyDescent="0.35">
      <c r="B32" s="3">
        <v>46360</v>
      </c>
    </row>
    <row r="33" spans="1:6" x14ac:dyDescent="0.35">
      <c r="B33" s="3">
        <v>46361</v>
      </c>
    </row>
    <row r="34" spans="1:6" x14ac:dyDescent="0.35">
      <c r="B34" s="3">
        <v>46362</v>
      </c>
    </row>
    <row r="38" spans="1:6" x14ac:dyDescent="0.35">
      <c r="A38" t="s">
        <v>48</v>
      </c>
      <c r="B38" s="1" t="s">
        <v>187</v>
      </c>
      <c r="C38" t="s">
        <v>188</v>
      </c>
      <c r="D38" s="1">
        <v>5</v>
      </c>
      <c r="E38">
        <v>4000</v>
      </c>
      <c r="F38">
        <f>E38*D38</f>
        <v>20000</v>
      </c>
    </row>
    <row r="39" spans="1:6" x14ac:dyDescent="0.35">
      <c r="B39" s="1" t="s">
        <v>148</v>
      </c>
    </row>
    <row r="40" spans="1:6" x14ac:dyDescent="0.35">
      <c r="B40" s="1" t="s">
        <v>189</v>
      </c>
    </row>
    <row r="41" spans="1:6" x14ac:dyDescent="0.35">
      <c r="B41" s="1" t="s">
        <v>238</v>
      </c>
    </row>
    <row r="42" spans="1:6" x14ac:dyDescent="0.35">
      <c r="B42" s="1" t="s">
        <v>396</v>
      </c>
    </row>
    <row r="43" spans="1:6" x14ac:dyDescent="0.35">
      <c r="B43" s="1" t="s">
        <v>474</v>
      </c>
    </row>
    <row r="44" spans="1:6" x14ac:dyDescent="0.35">
      <c r="B44" s="1" t="s">
        <v>517</v>
      </c>
    </row>
    <row r="48" spans="1:6" x14ac:dyDescent="0.35">
      <c r="A48" t="s">
        <v>51</v>
      </c>
      <c r="B48" s="1" t="s">
        <v>190</v>
      </c>
      <c r="C48" t="s">
        <v>147</v>
      </c>
      <c r="D48" s="1">
        <v>5</v>
      </c>
      <c r="E48">
        <v>4000</v>
      </c>
      <c r="F48">
        <f>E48*D48</f>
        <v>20000</v>
      </c>
    </row>
    <row r="49" spans="1:6" x14ac:dyDescent="0.35">
      <c r="B49" s="1" t="s">
        <v>191</v>
      </c>
    </row>
    <row r="50" spans="1:6" x14ac:dyDescent="0.35">
      <c r="B50" s="1" t="s">
        <v>192</v>
      </c>
    </row>
    <row r="51" spans="1:6" x14ac:dyDescent="0.35">
      <c r="B51" s="1" t="s">
        <v>316</v>
      </c>
    </row>
    <row r="52" spans="1:6" x14ac:dyDescent="0.35">
      <c r="B52" s="1" t="s">
        <v>395</v>
      </c>
    </row>
    <row r="53" spans="1:6" x14ac:dyDescent="0.35">
      <c r="B53" s="1" t="s">
        <v>486</v>
      </c>
    </row>
    <row r="54" spans="1:6" x14ac:dyDescent="0.35">
      <c r="B54" s="1" t="s">
        <v>595</v>
      </c>
    </row>
    <row r="56" spans="1:6" x14ac:dyDescent="0.35">
      <c r="A56" t="s">
        <v>132</v>
      </c>
      <c r="B56" s="1" t="s">
        <v>173</v>
      </c>
      <c r="C56" t="s">
        <v>174</v>
      </c>
      <c r="D56" s="1">
        <v>5</v>
      </c>
      <c r="E56">
        <v>4000</v>
      </c>
      <c r="F56">
        <f>E56*D56</f>
        <v>20000</v>
      </c>
    </row>
    <row r="57" spans="1:6" x14ac:dyDescent="0.35">
      <c r="B57" s="1" t="s">
        <v>106</v>
      </c>
    </row>
    <row r="58" spans="1:6" x14ac:dyDescent="0.35">
      <c r="B58" s="1" t="s">
        <v>193</v>
      </c>
    </row>
    <row r="59" spans="1:6" x14ac:dyDescent="0.35">
      <c r="B59" s="1" t="s">
        <v>243</v>
      </c>
    </row>
    <row r="60" spans="1:6" x14ac:dyDescent="0.35">
      <c r="B60" s="1" t="s">
        <v>392</v>
      </c>
    </row>
    <row r="61" spans="1:6" x14ac:dyDescent="0.35">
      <c r="B61" s="1" t="s">
        <v>492</v>
      </c>
    </row>
    <row r="62" spans="1:6" x14ac:dyDescent="0.35">
      <c r="B62" s="1" t="s">
        <v>578</v>
      </c>
      <c r="E62" s="12" t="s">
        <v>87</v>
      </c>
      <c r="F62" s="12">
        <f>SUM(F9:F61)</f>
        <v>136000</v>
      </c>
    </row>
    <row r="63" spans="1:6" x14ac:dyDescent="0.35">
      <c r="E63" t="s">
        <v>17</v>
      </c>
      <c r="F63">
        <v>109000</v>
      </c>
    </row>
    <row r="64" spans="1:6" x14ac:dyDescent="0.35">
      <c r="B64" s="1" t="s">
        <v>195</v>
      </c>
      <c r="E64" s="12" t="s">
        <v>19</v>
      </c>
      <c r="F64" s="12">
        <f>F62-F63</f>
        <v>27000</v>
      </c>
    </row>
    <row r="66" spans="2:3" x14ac:dyDescent="0.35">
      <c r="B66" s="6" t="s">
        <v>75</v>
      </c>
      <c r="C66" s="12" t="s">
        <v>6</v>
      </c>
    </row>
    <row r="67" spans="2:3" x14ac:dyDescent="0.35">
      <c r="B67" s="6" t="s">
        <v>169</v>
      </c>
      <c r="C67" s="12">
        <v>8000</v>
      </c>
    </row>
    <row r="68" spans="2:3" x14ac:dyDescent="0.35">
      <c r="B68" s="6" t="s">
        <v>435</v>
      </c>
      <c r="C68" s="12">
        <v>56000</v>
      </c>
    </row>
    <row r="69" spans="2:3" x14ac:dyDescent="0.35">
      <c r="B69" s="6" t="s">
        <v>496</v>
      </c>
      <c r="C69" s="12">
        <v>45000</v>
      </c>
    </row>
    <row r="70" spans="2:3" x14ac:dyDescent="0.35">
      <c r="B70" s="6"/>
      <c r="C70" s="12"/>
    </row>
    <row r="71" spans="2:3" x14ac:dyDescent="0.35">
      <c r="B71" s="6"/>
      <c r="C71" s="12"/>
    </row>
    <row r="72" spans="2:3" x14ac:dyDescent="0.35">
      <c r="B72" s="6" t="s">
        <v>87</v>
      </c>
      <c r="C72" s="12">
        <f>SUM(C67:C71)</f>
        <v>109000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C780-3E16-42E9-BEB5-AD2ED06D6685}">
  <dimension ref="A1:F14"/>
  <sheetViews>
    <sheetView workbookViewId="0">
      <selection activeCell="I13" sqref="I13"/>
    </sheetView>
  </sheetViews>
  <sheetFormatPr defaultRowHeight="14.5" x14ac:dyDescent="0.35"/>
  <cols>
    <col min="2" max="2" width="18.26953125" style="1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196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197</v>
      </c>
      <c r="C7" t="s">
        <v>198</v>
      </c>
      <c r="D7" s="1" t="s">
        <v>5</v>
      </c>
      <c r="E7" s="1" t="s">
        <v>123</v>
      </c>
      <c r="F7" s="1" t="s">
        <v>7</v>
      </c>
    </row>
    <row r="8" spans="1:6" x14ac:dyDescent="0.35">
      <c r="B8" s="1" t="s">
        <v>20</v>
      </c>
      <c r="D8">
        <v>2</v>
      </c>
      <c r="E8">
        <v>4000</v>
      </c>
      <c r="F8">
        <f>E8*D8</f>
        <v>8000</v>
      </c>
    </row>
    <row r="9" spans="1:6" x14ac:dyDescent="0.35">
      <c r="B9" s="1" t="s">
        <v>29</v>
      </c>
    </row>
    <row r="10" spans="1:6" x14ac:dyDescent="0.35">
      <c r="B10" s="1" t="s">
        <v>199</v>
      </c>
    </row>
    <row r="14" spans="1:6" x14ac:dyDescent="0.35">
      <c r="E14" s="12" t="s">
        <v>87</v>
      </c>
      <c r="F14" s="12">
        <f>SUM(F8:F13)</f>
        <v>8000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869C-2672-40A1-9A0D-F94669611262}">
  <dimension ref="A1:F18"/>
  <sheetViews>
    <sheetView workbookViewId="0">
      <selection activeCell="F19" sqref="F19"/>
    </sheetView>
  </sheetViews>
  <sheetFormatPr defaultRowHeight="14.5" x14ac:dyDescent="0.35"/>
  <cols>
    <col min="2" max="2" width="15.90625" style="1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196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494</v>
      </c>
      <c r="C7" t="s">
        <v>198</v>
      </c>
      <c r="D7" s="1" t="s">
        <v>5</v>
      </c>
      <c r="E7" s="1" t="s">
        <v>123</v>
      </c>
      <c r="F7" s="1" t="s">
        <v>7</v>
      </c>
    </row>
    <row r="8" spans="1:6" x14ac:dyDescent="0.35">
      <c r="B8" s="1" t="s">
        <v>395</v>
      </c>
      <c r="D8">
        <v>1</v>
      </c>
      <c r="E8">
        <v>4000</v>
      </c>
      <c r="F8">
        <f>E8*D8</f>
        <v>4000</v>
      </c>
    </row>
    <row r="9" spans="1:6" x14ac:dyDescent="0.35">
      <c r="B9" s="1" t="s">
        <v>486</v>
      </c>
    </row>
    <row r="18" spans="5:6" x14ac:dyDescent="0.35">
      <c r="E18" t="s">
        <v>87</v>
      </c>
      <c r="F18">
        <f>SUM(F8:F17)</f>
        <v>4000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9104-0463-4DDA-B60B-8C5C2F1B5298}">
  <dimension ref="A1:F30"/>
  <sheetViews>
    <sheetView workbookViewId="0">
      <selection activeCell="A5" sqref="A5:E6"/>
    </sheetView>
  </sheetViews>
  <sheetFormatPr defaultRowHeight="14.5" x14ac:dyDescent="0.35"/>
  <cols>
    <col min="2" max="2" width="20" style="1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200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201</v>
      </c>
      <c r="C7" t="s">
        <v>202</v>
      </c>
      <c r="D7" s="1" t="s">
        <v>5</v>
      </c>
      <c r="E7" s="1" t="s">
        <v>123</v>
      </c>
      <c r="F7" s="1" t="s">
        <v>7</v>
      </c>
    </row>
    <row r="8" spans="1:6" x14ac:dyDescent="0.35">
      <c r="B8" s="3">
        <v>45700</v>
      </c>
      <c r="D8">
        <v>2</v>
      </c>
      <c r="E8">
        <v>4000</v>
      </c>
      <c r="F8">
        <f>E8*D8</f>
        <v>8000</v>
      </c>
    </row>
    <row r="9" spans="1:6" x14ac:dyDescent="0.35">
      <c r="A9" s="13" t="s">
        <v>40</v>
      </c>
      <c r="B9" s="3">
        <v>46054</v>
      </c>
    </row>
    <row r="10" spans="1:6" x14ac:dyDescent="0.35">
      <c r="A10" t="s">
        <v>479</v>
      </c>
      <c r="B10" s="3">
        <v>46055</v>
      </c>
    </row>
    <row r="13" spans="1:6" x14ac:dyDescent="0.35">
      <c r="A13" t="s">
        <v>30</v>
      </c>
      <c r="B13" s="1" t="s">
        <v>203</v>
      </c>
      <c r="C13" t="s">
        <v>150</v>
      </c>
      <c r="D13" s="16">
        <v>4</v>
      </c>
      <c r="E13">
        <v>4000</v>
      </c>
      <c r="F13">
        <f>E13*D13</f>
        <v>16000</v>
      </c>
    </row>
    <row r="14" spans="1:6" x14ac:dyDescent="0.35">
      <c r="B14" s="3">
        <v>46296</v>
      </c>
    </row>
    <row r="15" spans="1:6" x14ac:dyDescent="0.35">
      <c r="B15" s="11">
        <v>46297</v>
      </c>
    </row>
    <row r="16" spans="1:6" x14ac:dyDescent="0.35">
      <c r="B16" s="11">
        <v>46298</v>
      </c>
    </row>
    <row r="17" spans="2:6" x14ac:dyDescent="0.35">
      <c r="B17" s="11">
        <v>46299</v>
      </c>
    </row>
    <row r="18" spans="2:6" x14ac:dyDescent="0.35">
      <c r="B18" s="11">
        <v>46300</v>
      </c>
    </row>
    <row r="19" spans="2:6" x14ac:dyDescent="0.35">
      <c r="E19" s="12" t="s">
        <v>87</v>
      </c>
      <c r="F19" s="12">
        <f>F13+F8</f>
        <v>24000</v>
      </c>
    </row>
    <row r="20" spans="2:6" x14ac:dyDescent="0.35">
      <c r="E20" t="s">
        <v>17</v>
      </c>
      <c r="F20" s="16">
        <v>16000</v>
      </c>
    </row>
    <row r="21" spans="2:6" x14ac:dyDescent="0.35">
      <c r="E21" s="12" t="s">
        <v>99</v>
      </c>
      <c r="F21" s="12">
        <f>F19-F20</f>
        <v>8000</v>
      </c>
    </row>
    <row r="25" spans="2:6" x14ac:dyDescent="0.35">
      <c r="B25" s="6" t="s">
        <v>75</v>
      </c>
      <c r="C25" s="6" t="s">
        <v>6</v>
      </c>
    </row>
    <row r="26" spans="2:6" x14ac:dyDescent="0.35">
      <c r="B26" s="28">
        <v>45700</v>
      </c>
      <c r="C26" s="9">
        <v>4000</v>
      </c>
    </row>
    <row r="27" spans="2:6" x14ac:dyDescent="0.35">
      <c r="B27" s="6" t="s">
        <v>480</v>
      </c>
      <c r="C27" s="9">
        <v>4000</v>
      </c>
    </row>
    <row r="28" spans="2:6" x14ac:dyDescent="0.35">
      <c r="B28" s="6" t="s">
        <v>481</v>
      </c>
      <c r="C28" s="9">
        <v>4000</v>
      </c>
    </row>
    <row r="29" spans="2:6" x14ac:dyDescent="0.35">
      <c r="B29" s="6" t="s">
        <v>482</v>
      </c>
      <c r="C29" s="9">
        <v>4000</v>
      </c>
    </row>
    <row r="30" spans="2:6" x14ac:dyDescent="0.35">
      <c r="B30" s="6" t="s">
        <v>87</v>
      </c>
      <c r="C30" s="9">
        <f>SUM(C26:C29)</f>
        <v>16000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40EC-E212-4DBE-9874-3C1D37D72B57}">
  <dimension ref="A1:P51"/>
  <sheetViews>
    <sheetView topLeftCell="A16" workbookViewId="0">
      <selection activeCell="E32" sqref="E32"/>
    </sheetView>
  </sheetViews>
  <sheetFormatPr defaultRowHeight="14.5" x14ac:dyDescent="0.35"/>
  <cols>
    <col min="1" max="1" width="11.54296875" customWidth="1"/>
    <col min="2" max="2" width="18" style="1" customWidth="1"/>
    <col min="5" max="5" width="12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211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212</v>
      </c>
      <c r="C7" s="1" t="s">
        <v>213</v>
      </c>
      <c r="D7" s="1" t="s">
        <v>5</v>
      </c>
      <c r="E7" s="1" t="s">
        <v>123</v>
      </c>
      <c r="F7" s="1" t="s">
        <v>7</v>
      </c>
    </row>
    <row r="8" spans="1:6" x14ac:dyDescent="0.35">
      <c r="B8" s="3">
        <v>45911</v>
      </c>
      <c r="D8">
        <v>6</v>
      </c>
      <c r="E8">
        <v>4000</v>
      </c>
      <c r="F8">
        <f>E8*D8</f>
        <v>24000</v>
      </c>
    </row>
    <row r="9" spans="1:6" x14ac:dyDescent="0.35">
      <c r="B9" s="3">
        <v>45912</v>
      </c>
    </row>
    <row r="10" spans="1:6" x14ac:dyDescent="0.35">
      <c r="B10" s="3">
        <v>45901</v>
      </c>
    </row>
    <row r="11" spans="1:6" x14ac:dyDescent="0.35">
      <c r="A11" s="13" t="s">
        <v>159</v>
      </c>
      <c r="B11" s="3">
        <v>46267</v>
      </c>
    </row>
    <row r="12" spans="1:6" x14ac:dyDescent="0.35">
      <c r="A12" s="19">
        <v>46178</v>
      </c>
      <c r="B12" s="3">
        <v>46268</v>
      </c>
    </row>
    <row r="13" spans="1:6" x14ac:dyDescent="0.35">
      <c r="B13" s="3">
        <v>46269</v>
      </c>
    </row>
    <row r="14" spans="1:6" x14ac:dyDescent="0.35">
      <c r="B14" s="3">
        <v>46270</v>
      </c>
    </row>
    <row r="16" spans="1:6" ht="15.5" customHeight="1" x14ac:dyDescent="0.35">
      <c r="A16" t="s">
        <v>30</v>
      </c>
      <c r="B16" s="1" t="s">
        <v>214</v>
      </c>
      <c r="C16" t="s">
        <v>215</v>
      </c>
    </row>
    <row r="17" spans="1:6" ht="15.5" customHeight="1" x14ac:dyDescent="0.35">
      <c r="B17" s="1" t="s">
        <v>216</v>
      </c>
      <c r="D17">
        <v>5</v>
      </c>
      <c r="E17">
        <v>4000</v>
      </c>
      <c r="F17">
        <f>E17*D17</f>
        <v>20000</v>
      </c>
    </row>
    <row r="18" spans="1:6" ht="15.5" customHeight="1" x14ac:dyDescent="0.35">
      <c r="B18" s="3">
        <v>45942</v>
      </c>
    </row>
    <row r="19" spans="1:6" ht="15.5" customHeight="1" x14ac:dyDescent="0.35">
      <c r="A19" s="13" t="s">
        <v>40</v>
      </c>
      <c r="B19" s="3">
        <v>46296</v>
      </c>
    </row>
    <row r="20" spans="1:6" ht="15.5" customHeight="1" x14ac:dyDescent="0.35">
      <c r="A20" s="2">
        <v>46331</v>
      </c>
      <c r="B20" s="3">
        <v>46297</v>
      </c>
    </row>
    <row r="21" spans="1:6" ht="15.5" customHeight="1" x14ac:dyDescent="0.35">
      <c r="B21" s="3">
        <v>46298</v>
      </c>
    </row>
    <row r="22" spans="1:6" x14ac:dyDescent="0.35">
      <c r="B22" s="3">
        <v>46299</v>
      </c>
    </row>
    <row r="23" spans="1:6" x14ac:dyDescent="0.35">
      <c r="B23" s="3">
        <v>46300</v>
      </c>
      <c r="E23" s="25" t="s">
        <v>87</v>
      </c>
      <c r="F23" s="25">
        <f>F17+F8</f>
        <v>44000</v>
      </c>
    </row>
    <row r="24" spans="1:6" x14ac:dyDescent="0.35">
      <c r="E24" s="14" t="s">
        <v>17</v>
      </c>
      <c r="F24" s="14">
        <v>16000</v>
      </c>
    </row>
    <row r="25" spans="1:6" x14ac:dyDescent="0.35">
      <c r="E25" s="24" t="s">
        <v>99</v>
      </c>
      <c r="F25" s="24">
        <f>F23-F24</f>
        <v>28000</v>
      </c>
    </row>
    <row r="29" spans="1:6" x14ac:dyDescent="0.35">
      <c r="B29" s="6" t="s">
        <v>75</v>
      </c>
      <c r="C29" s="6" t="s">
        <v>6</v>
      </c>
    </row>
    <row r="30" spans="1:6" x14ac:dyDescent="0.35">
      <c r="B30" s="8">
        <v>46057</v>
      </c>
      <c r="C30" s="12">
        <v>16000</v>
      </c>
    </row>
    <row r="31" spans="1:6" x14ac:dyDescent="0.35">
      <c r="C31">
        <v>1000</v>
      </c>
    </row>
    <row r="51" spans="12:16" x14ac:dyDescent="0.35">
      <c r="L51" s="1"/>
      <c r="N51" s="1"/>
      <c r="O51" s="1"/>
      <c r="P51" s="1"/>
    </row>
  </sheetData>
  <mergeCells count="2">
    <mergeCell ref="A1:E4"/>
    <mergeCell ref="A5:E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8760-7350-4F62-AC24-0D22276CA902}">
  <dimension ref="A1:F38"/>
  <sheetViews>
    <sheetView topLeftCell="A22" workbookViewId="0">
      <selection activeCell="D9" sqref="D9"/>
    </sheetView>
  </sheetViews>
  <sheetFormatPr defaultRowHeight="14.5" x14ac:dyDescent="0.35"/>
  <cols>
    <col min="2" max="2" width="15.81640625" style="1" customWidth="1"/>
    <col min="3" max="3" width="11.7265625" customWidth="1"/>
    <col min="5" max="5" width="9.8164062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217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218</v>
      </c>
      <c r="C7" s="1" t="s">
        <v>219</v>
      </c>
      <c r="D7" s="1" t="s">
        <v>5</v>
      </c>
      <c r="E7" s="1" t="s">
        <v>123</v>
      </c>
      <c r="F7" s="1" t="s">
        <v>7</v>
      </c>
    </row>
    <row r="8" spans="1:6" x14ac:dyDescent="0.35">
      <c r="B8" s="1" t="s">
        <v>220</v>
      </c>
      <c r="D8">
        <v>10</v>
      </c>
      <c r="E8">
        <v>4000</v>
      </c>
      <c r="F8">
        <f>E8*D8</f>
        <v>40000</v>
      </c>
    </row>
    <row r="9" spans="1:6" x14ac:dyDescent="0.35">
      <c r="B9" s="1" t="s">
        <v>221</v>
      </c>
    </row>
    <row r="10" spans="1:6" x14ac:dyDescent="0.35">
      <c r="B10" s="1" t="s">
        <v>222</v>
      </c>
    </row>
    <row r="11" spans="1:6" x14ac:dyDescent="0.35">
      <c r="B11" s="1" t="s">
        <v>33</v>
      </c>
    </row>
    <row r="12" spans="1:6" x14ac:dyDescent="0.35">
      <c r="B12" s="1" t="s">
        <v>34</v>
      </c>
    </row>
    <row r="13" spans="1:6" x14ac:dyDescent="0.35">
      <c r="B13" s="1" t="s">
        <v>106</v>
      </c>
    </row>
    <row r="14" spans="1:6" x14ac:dyDescent="0.35">
      <c r="B14" s="1" t="s">
        <v>193</v>
      </c>
    </row>
    <row r="15" spans="1:6" x14ac:dyDescent="0.35">
      <c r="B15" s="1" t="s">
        <v>243</v>
      </c>
    </row>
    <row r="16" spans="1:6" x14ac:dyDescent="0.35">
      <c r="B16" s="1" t="s">
        <v>392</v>
      </c>
    </row>
    <row r="17" spans="1:6" x14ac:dyDescent="0.35">
      <c r="B17" s="1" t="s">
        <v>492</v>
      </c>
    </row>
    <row r="18" spans="1:6" x14ac:dyDescent="0.35">
      <c r="B18" s="1" t="s">
        <v>578</v>
      </c>
    </row>
    <row r="19" spans="1:6" x14ac:dyDescent="0.35">
      <c r="A19" t="s">
        <v>30</v>
      </c>
      <c r="B19" s="1" t="s">
        <v>223</v>
      </c>
      <c r="C19" t="s">
        <v>224</v>
      </c>
      <c r="D19">
        <v>6</v>
      </c>
      <c r="E19">
        <v>4000</v>
      </c>
      <c r="F19">
        <f>E19*D19</f>
        <v>24000</v>
      </c>
    </row>
    <row r="20" spans="1:6" x14ac:dyDescent="0.35">
      <c r="B20" s="3">
        <v>45700</v>
      </c>
    </row>
    <row r="21" spans="1:6" x14ac:dyDescent="0.35">
      <c r="B21" s="3">
        <v>46054</v>
      </c>
    </row>
    <row r="22" spans="1:6" x14ac:dyDescent="0.35">
      <c r="B22" s="3">
        <v>46055</v>
      </c>
    </row>
    <row r="23" spans="1:6" x14ac:dyDescent="0.35">
      <c r="B23" s="3">
        <v>46056</v>
      </c>
    </row>
    <row r="24" spans="1:6" x14ac:dyDescent="0.35">
      <c r="B24" s="3">
        <v>46057</v>
      </c>
    </row>
    <row r="25" spans="1:6" x14ac:dyDescent="0.35">
      <c r="B25" s="3">
        <v>46058</v>
      </c>
    </row>
    <row r="26" spans="1:6" x14ac:dyDescent="0.35">
      <c r="B26" s="3">
        <v>46059</v>
      </c>
    </row>
    <row r="27" spans="1:6" x14ac:dyDescent="0.35">
      <c r="E27" s="12" t="s">
        <v>87</v>
      </c>
      <c r="F27" s="12">
        <f>SUM(F8:F26)</f>
        <v>64000</v>
      </c>
    </row>
    <row r="28" spans="1:6" x14ac:dyDescent="0.35">
      <c r="E28" t="s">
        <v>17</v>
      </c>
      <c r="F28">
        <v>56000</v>
      </c>
    </row>
    <row r="29" spans="1:6" x14ac:dyDescent="0.35">
      <c r="E29" s="12" t="s">
        <v>19</v>
      </c>
      <c r="F29" s="12">
        <f>F27-F28</f>
        <v>8000</v>
      </c>
    </row>
    <row r="32" spans="1:6" x14ac:dyDescent="0.35">
      <c r="B32" s="6" t="s">
        <v>75</v>
      </c>
      <c r="C32" s="12" t="s">
        <v>6</v>
      </c>
    </row>
    <row r="33" spans="2:3" x14ac:dyDescent="0.35">
      <c r="B33" s="1" t="s">
        <v>225</v>
      </c>
      <c r="C33">
        <v>4000</v>
      </c>
    </row>
    <row r="34" spans="2:3" x14ac:dyDescent="0.35">
      <c r="B34" s="1" t="s">
        <v>226</v>
      </c>
      <c r="C34">
        <v>8000</v>
      </c>
    </row>
    <row r="35" spans="2:3" x14ac:dyDescent="0.35">
      <c r="B35" s="3">
        <v>45700</v>
      </c>
      <c r="C35">
        <v>4000</v>
      </c>
    </row>
    <row r="36" spans="2:3" x14ac:dyDescent="0.35">
      <c r="B36" s="1" t="s">
        <v>353</v>
      </c>
      <c r="C36">
        <v>16000</v>
      </c>
    </row>
    <row r="37" spans="2:3" x14ac:dyDescent="0.35">
      <c r="B37" s="1" t="s">
        <v>454</v>
      </c>
      <c r="C37">
        <v>24000</v>
      </c>
    </row>
    <row r="38" spans="2:3" x14ac:dyDescent="0.35">
      <c r="B38" s="6" t="s">
        <v>87</v>
      </c>
      <c r="C38" s="12">
        <f>SUM(C33:C37)</f>
        <v>56000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CDAA-3345-4CB2-A96A-05D44A6F47DB}">
  <dimension ref="A1:F22"/>
  <sheetViews>
    <sheetView workbookViewId="0">
      <selection activeCell="B20" sqref="B19:B20"/>
    </sheetView>
  </sheetViews>
  <sheetFormatPr defaultRowHeight="14.5" x14ac:dyDescent="0.35"/>
  <cols>
    <col min="2" max="2" width="22.36328125" style="1" customWidth="1"/>
    <col min="3" max="3" width="11.726562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204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ht="18.5" x14ac:dyDescent="0.45">
      <c r="A7" s="20"/>
      <c r="B7" s="20"/>
      <c r="C7" s="20"/>
      <c r="D7" s="20"/>
      <c r="E7" s="20"/>
    </row>
    <row r="8" spans="1:6" x14ac:dyDescent="0.35">
      <c r="A8" t="s">
        <v>42</v>
      </c>
      <c r="B8" s="1" t="s">
        <v>227</v>
      </c>
      <c r="C8" s="1" t="s">
        <v>219</v>
      </c>
      <c r="D8" s="1" t="s">
        <v>5</v>
      </c>
      <c r="E8" s="1" t="s">
        <v>123</v>
      </c>
      <c r="F8" s="1" t="s">
        <v>7</v>
      </c>
    </row>
    <row r="9" spans="1:6" x14ac:dyDescent="0.35">
      <c r="B9" s="1" t="s">
        <v>140</v>
      </c>
      <c r="D9">
        <v>2</v>
      </c>
      <c r="E9">
        <v>4000</v>
      </c>
      <c r="F9">
        <f>E9*D9</f>
        <v>8000</v>
      </c>
    </row>
    <row r="10" spans="1:6" x14ac:dyDescent="0.35">
      <c r="B10" s="1" t="s">
        <v>141</v>
      </c>
    </row>
    <row r="11" spans="1:6" x14ac:dyDescent="0.35">
      <c r="B11" s="1" t="s">
        <v>142</v>
      </c>
    </row>
    <row r="17" spans="2:6" x14ac:dyDescent="0.35">
      <c r="E17" s="14" t="s">
        <v>7</v>
      </c>
      <c r="F17" s="14">
        <f>SUM(F9:F16)</f>
        <v>8000</v>
      </c>
    </row>
    <row r="18" spans="2:6" x14ac:dyDescent="0.35">
      <c r="E18" t="s">
        <v>230</v>
      </c>
      <c r="F18">
        <v>4000</v>
      </c>
    </row>
    <row r="19" spans="2:6" x14ac:dyDescent="0.35">
      <c r="E19" s="12" t="s">
        <v>87</v>
      </c>
      <c r="F19" s="12">
        <f>SUM(+F17+F18)</f>
        <v>12000</v>
      </c>
    </row>
    <row r="20" spans="2:6" x14ac:dyDescent="0.35">
      <c r="B20" s="4" t="s">
        <v>228</v>
      </c>
      <c r="C20" s="14" t="s">
        <v>6</v>
      </c>
    </row>
    <row r="21" spans="2:6" x14ac:dyDescent="0.35">
      <c r="B21" s="4" t="s">
        <v>229</v>
      </c>
      <c r="C21" s="14">
        <v>4000</v>
      </c>
    </row>
    <row r="22" spans="2:6" x14ac:dyDescent="0.35">
      <c r="B22" s="4" t="s">
        <v>231</v>
      </c>
      <c r="C22" s="14"/>
    </row>
  </sheetData>
  <mergeCells count="2">
    <mergeCell ref="A1:E4"/>
    <mergeCell ref="A5:E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8496-E40C-4F8B-ADD2-9F31CFB3E84F}">
  <dimension ref="A1:F21"/>
  <sheetViews>
    <sheetView topLeftCell="A12" workbookViewId="0">
      <selection sqref="A1:G29"/>
    </sheetView>
  </sheetViews>
  <sheetFormatPr defaultRowHeight="14.5" x14ac:dyDescent="0.35"/>
  <cols>
    <col min="1" max="1" width="10.453125" bestFit="1" customWidth="1"/>
    <col min="2" max="2" width="20.3632812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232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ht="18.5" x14ac:dyDescent="0.45">
      <c r="A7" s="20"/>
      <c r="B7" s="20"/>
      <c r="C7" s="20"/>
      <c r="D7" s="20"/>
      <c r="E7" s="20"/>
    </row>
    <row r="8" spans="1:6" x14ac:dyDescent="0.35">
      <c r="A8" t="s">
        <v>42</v>
      </c>
      <c r="B8" s="1" t="s">
        <v>233</v>
      </c>
      <c r="C8" s="1" t="s">
        <v>234</v>
      </c>
      <c r="D8" s="1" t="s">
        <v>5</v>
      </c>
      <c r="E8" s="1" t="s">
        <v>123</v>
      </c>
      <c r="F8" s="1" t="s">
        <v>7</v>
      </c>
    </row>
    <row r="9" spans="1:6" x14ac:dyDescent="0.35">
      <c r="B9" t="s">
        <v>235</v>
      </c>
      <c r="D9">
        <v>7</v>
      </c>
      <c r="E9">
        <v>4000</v>
      </c>
      <c r="F9">
        <f>E9*D9</f>
        <v>28000</v>
      </c>
    </row>
    <row r="10" spans="1:6" x14ac:dyDescent="0.35">
      <c r="B10" t="s">
        <v>236</v>
      </c>
    </row>
    <row r="11" spans="1:6" x14ac:dyDescent="0.35">
      <c r="B11" t="s">
        <v>237</v>
      </c>
    </row>
    <row r="12" spans="1:6" x14ac:dyDescent="0.35">
      <c r="B12" t="s">
        <v>148</v>
      </c>
    </row>
    <row r="13" spans="1:6" x14ac:dyDescent="0.35">
      <c r="B13" t="s">
        <v>189</v>
      </c>
    </row>
    <row r="14" spans="1:6" x14ac:dyDescent="0.35">
      <c r="A14" s="13" t="s">
        <v>40</v>
      </c>
      <c r="B14" t="s">
        <v>238</v>
      </c>
    </row>
    <row r="15" spans="1:6" x14ac:dyDescent="0.35">
      <c r="A15" s="2">
        <v>46148</v>
      </c>
      <c r="B15" t="s">
        <v>396</v>
      </c>
    </row>
    <row r="16" spans="1:6" x14ac:dyDescent="0.35">
      <c r="B16" t="s">
        <v>474</v>
      </c>
    </row>
    <row r="19" spans="5:6" x14ac:dyDescent="0.35">
      <c r="E19" s="14" t="s">
        <v>87</v>
      </c>
      <c r="F19" s="14">
        <f>SUM(F9:F18)</f>
        <v>28000</v>
      </c>
    </row>
    <row r="20" spans="5:6" x14ac:dyDescent="0.35">
      <c r="E20" t="s">
        <v>17</v>
      </c>
      <c r="F20">
        <v>25000</v>
      </c>
    </row>
    <row r="21" spans="5:6" x14ac:dyDescent="0.35">
      <c r="E21" s="33" t="s">
        <v>19</v>
      </c>
      <c r="F21" s="33">
        <f>F19-F20</f>
        <v>3000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2A8F-E037-47DB-96FC-3F7CBFAA848D}">
  <dimension ref="A1:F82"/>
  <sheetViews>
    <sheetView topLeftCell="A73" workbookViewId="0">
      <selection sqref="A1:G84"/>
    </sheetView>
  </sheetViews>
  <sheetFormatPr defaultRowHeight="14.5" x14ac:dyDescent="0.35"/>
  <cols>
    <col min="1" max="1" width="8.6328125" customWidth="1"/>
    <col min="2" max="2" width="30.90625" style="1" customWidth="1"/>
    <col min="3" max="3" width="13.9062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246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247</v>
      </c>
      <c r="C7" s="1" t="s">
        <v>248</v>
      </c>
      <c r="D7" s="1" t="s">
        <v>5</v>
      </c>
      <c r="E7" s="1" t="s">
        <v>123</v>
      </c>
      <c r="F7" s="1" t="s">
        <v>7</v>
      </c>
    </row>
    <row r="8" spans="1:6" x14ac:dyDescent="0.35">
      <c r="B8" s="1" t="s">
        <v>249</v>
      </c>
      <c r="D8">
        <v>9</v>
      </c>
      <c r="E8">
        <v>4000</v>
      </c>
      <c r="F8">
        <f>E8*D8</f>
        <v>36000</v>
      </c>
    </row>
    <row r="9" spans="1:6" x14ac:dyDescent="0.35">
      <c r="B9" s="1" t="s">
        <v>250</v>
      </c>
    </row>
    <row r="10" spans="1:6" x14ac:dyDescent="0.35">
      <c r="B10" s="1" t="s">
        <v>251</v>
      </c>
    </row>
    <row r="11" spans="1:6" x14ac:dyDescent="0.35">
      <c r="B11" s="1" t="s">
        <v>252</v>
      </c>
    </row>
    <row r="12" spans="1:6" x14ac:dyDescent="0.35">
      <c r="B12" s="1" t="s">
        <v>206</v>
      </c>
    </row>
    <row r="13" spans="1:6" x14ac:dyDescent="0.35">
      <c r="B13" s="1" t="s">
        <v>253</v>
      </c>
    </row>
    <row r="14" spans="1:6" x14ac:dyDescent="0.35">
      <c r="B14" s="1" t="s">
        <v>254</v>
      </c>
    </row>
    <row r="15" spans="1:6" x14ac:dyDescent="0.35">
      <c r="B15" s="1" t="s">
        <v>410</v>
      </c>
    </row>
    <row r="16" spans="1:6" x14ac:dyDescent="0.35">
      <c r="B16" s="1" t="s">
        <v>495</v>
      </c>
    </row>
    <row r="17" spans="1:6" x14ac:dyDescent="0.35">
      <c r="B17" s="1" t="s">
        <v>577</v>
      </c>
    </row>
    <row r="19" spans="1:6" ht="14.5" customHeight="1" x14ac:dyDescent="0.35">
      <c r="A19" t="s">
        <v>30</v>
      </c>
      <c r="B19" s="1" t="s">
        <v>255</v>
      </c>
      <c r="C19" t="s">
        <v>256</v>
      </c>
    </row>
    <row r="20" spans="1:6" ht="14.5" customHeight="1" x14ac:dyDescent="0.35">
      <c r="B20" s="1" t="s">
        <v>45</v>
      </c>
      <c r="D20">
        <v>8</v>
      </c>
      <c r="E20">
        <v>4000</v>
      </c>
      <c r="F20">
        <f>E20*D20</f>
        <v>32000</v>
      </c>
    </row>
    <row r="21" spans="1:6" ht="14.5" customHeight="1" x14ac:dyDescent="0.35">
      <c r="B21" s="1" t="s">
        <v>46</v>
      </c>
    </row>
    <row r="22" spans="1:6" ht="14.5" customHeight="1" x14ac:dyDescent="0.35">
      <c r="B22" s="1" t="s">
        <v>47</v>
      </c>
    </row>
    <row r="23" spans="1:6" ht="14.5" customHeight="1" x14ac:dyDescent="0.35">
      <c r="B23" s="1" t="s">
        <v>257</v>
      </c>
    </row>
    <row r="24" spans="1:6" ht="14.5" customHeight="1" x14ac:dyDescent="0.35">
      <c r="B24" s="1" t="s">
        <v>258</v>
      </c>
    </row>
    <row r="25" spans="1:6" x14ac:dyDescent="0.35">
      <c r="B25" s="1" t="s">
        <v>259</v>
      </c>
    </row>
    <row r="26" spans="1:6" ht="16" customHeight="1" x14ac:dyDescent="0.35">
      <c r="B26" s="1" t="s">
        <v>409</v>
      </c>
    </row>
    <row r="27" spans="1:6" ht="16" customHeight="1" x14ac:dyDescent="0.35">
      <c r="B27" s="1" t="s">
        <v>496</v>
      </c>
    </row>
    <row r="28" spans="1:6" ht="16" customHeight="1" x14ac:dyDescent="0.35">
      <c r="B28" s="1" t="s">
        <v>513</v>
      </c>
    </row>
    <row r="29" spans="1:6" x14ac:dyDescent="0.35">
      <c r="A29" t="s">
        <v>35</v>
      </c>
      <c r="B29" s="1" t="s">
        <v>260</v>
      </c>
      <c r="C29" t="s">
        <v>261</v>
      </c>
      <c r="D29">
        <v>8</v>
      </c>
      <c r="E29">
        <v>4000</v>
      </c>
      <c r="F29">
        <f>E29*D29</f>
        <v>32000</v>
      </c>
    </row>
    <row r="30" spans="1:6" x14ac:dyDescent="0.35">
      <c r="B30" s="1" t="s">
        <v>45</v>
      </c>
    </row>
    <row r="31" spans="1:6" x14ac:dyDescent="0.35">
      <c r="B31" s="1" t="s">
        <v>46</v>
      </c>
    </row>
    <row r="32" spans="1:6" x14ac:dyDescent="0.35">
      <c r="B32" s="1" t="s">
        <v>47</v>
      </c>
    </row>
    <row r="33" spans="1:6" x14ac:dyDescent="0.35">
      <c r="B33" s="1" t="s">
        <v>257</v>
      </c>
    </row>
    <row r="34" spans="1:6" x14ac:dyDescent="0.35">
      <c r="B34" s="1" t="s">
        <v>258</v>
      </c>
    </row>
    <row r="35" spans="1:6" x14ac:dyDescent="0.35">
      <c r="B35" s="1" t="s">
        <v>259</v>
      </c>
    </row>
    <row r="36" spans="1:6" x14ac:dyDescent="0.35">
      <c r="B36" s="1" t="s">
        <v>409</v>
      </c>
    </row>
    <row r="37" spans="1:6" x14ac:dyDescent="0.35">
      <c r="B37" s="1" t="s">
        <v>496</v>
      </c>
    </row>
    <row r="38" spans="1:6" x14ac:dyDescent="0.35">
      <c r="B38" s="1" t="s">
        <v>513</v>
      </c>
    </row>
    <row r="39" spans="1:6" x14ac:dyDescent="0.35">
      <c r="A39" t="s">
        <v>48</v>
      </c>
      <c r="B39" s="1" t="s">
        <v>262</v>
      </c>
      <c r="C39" t="s">
        <v>263</v>
      </c>
      <c r="D39">
        <v>2</v>
      </c>
      <c r="E39">
        <v>4000</v>
      </c>
      <c r="F39">
        <f>E39*D39</f>
        <v>8000</v>
      </c>
    </row>
    <row r="40" spans="1:6" x14ac:dyDescent="0.35">
      <c r="B40" s="3">
        <v>45699</v>
      </c>
    </row>
    <row r="41" spans="1:6" x14ac:dyDescent="0.35">
      <c r="B41" s="3">
        <v>45700</v>
      </c>
    </row>
    <row r="42" spans="1:6" x14ac:dyDescent="0.35">
      <c r="A42" s="13" t="s">
        <v>40</v>
      </c>
      <c r="B42" s="3">
        <v>46054</v>
      </c>
    </row>
    <row r="43" spans="1:6" x14ac:dyDescent="0.35">
      <c r="A43" s="19">
        <v>46174</v>
      </c>
    </row>
    <row r="45" spans="1:6" x14ac:dyDescent="0.35">
      <c r="A45" t="s">
        <v>51</v>
      </c>
      <c r="B45" s="1" t="s">
        <v>264</v>
      </c>
      <c r="C45" t="s">
        <v>265</v>
      </c>
      <c r="D45">
        <v>4</v>
      </c>
      <c r="E45">
        <v>4000</v>
      </c>
      <c r="F45">
        <f>E45*D45</f>
        <v>16000</v>
      </c>
    </row>
    <row r="46" spans="1:6" x14ac:dyDescent="0.35">
      <c r="B46" s="3">
        <v>45699</v>
      </c>
    </row>
    <row r="47" spans="1:6" x14ac:dyDescent="0.35">
      <c r="B47" s="3">
        <v>45700</v>
      </c>
    </row>
    <row r="48" spans="1:6" x14ac:dyDescent="0.35">
      <c r="B48" s="3">
        <v>46054</v>
      </c>
    </row>
    <row r="49" spans="1:6" x14ac:dyDescent="0.35">
      <c r="A49" s="13" t="s">
        <v>40</v>
      </c>
      <c r="B49" s="3">
        <v>46055</v>
      </c>
    </row>
    <row r="50" spans="1:6" x14ac:dyDescent="0.35">
      <c r="A50" t="s">
        <v>266</v>
      </c>
      <c r="B50" s="3">
        <v>46056</v>
      </c>
    </row>
    <row r="53" spans="1:6" x14ac:dyDescent="0.35">
      <c r="A53" t="s">
        <v>132</v>
      </c>
      <c r="B53" s="1" t="s">
        <v>267</v>
      </c>
      <c r="C53" t="s">
        <v>268</v>
      </c>
      <c r="D53">
        <v>2</v>
      </c>
      <c r="E53">
        <v>4000</v>
      </c>
      <c r="F53">
        <f>E53*D53</f>
        <v>8000</v>
      </c>
    </row>
    <row r="54" spans="1:6" x14ac:dyDescent="0.35">
      <c r="B54" s="1" t="s">
        <v>236</v>
      </c>
    </row>
    <row r="55" spans="1:6" x14ac:dyDescent="0.35">
      <c r="B55" s="1" t="s">
        <v>237</v>
      </c>
    </row>
    <row r="56" spans="1:6" x14ac:dyDescent="0.35">
      <c r="A56" s="13" t="s">
        <v>40</v>
      </c>
      <c r="B56" s="1" t="s">
        <v>148</v>
      </c>
    </row>
    <row r="57" spans="1:6" x14ac:dyDescent="0.35">
      <c r="A57" s="19">
        <v>46266</v>
      </c>
    </row>
    <row r="59" spans="1:6" x14ac:dyDescent="0.35">
      <c r="A59" t="s">
        <v>178</v>
      </c>
      <c r="B59" s="1" t="s">
        <v>269</v>
      </c>
      <c r="C59" t="s">
        <v>270</v>
      </c>
      <c r="D59">
        <v>7</v>
      </c>
      <c r="E59">
        <v>4000</v>
      </c>
      <c r="F59">
        <f>E59*D59</f>
        <v>28000</v>
      </c>
    </row>
    <row r="60" spans="1:6" x14ac:dyDescent="0.35">
      <c r="B60" s="1" t="s">
        <v>271</v>
      </c>
    </row>
    <row r="61" spans="1:6" x14ac:dyDescent="0.35">
      <c r="B61" s="1" t="s">
        <v>272</v>
      </c>
      <c r="E61" t="s">
        <v>156</v>
      </c>
      <c r="F61">
        <v>500</v>
      </c>
    </row>
    <row r="62" spans="1:6" x14ac:dyDescent="0.35">
      <c r="B62" s="1" t="s">
        <v>321</v>
      </c>
    </row>
    <row r="63" spans="1:6" x14ac:dyDescent="0.35">
      <c r="B63" s="1" t="s">
        <v>322</v>
      </c>
    </row>
    <row r="64" spans="1:6" x14ac:dyDescent="0.35">
      <c r="B64" s="1" t="s">
        <v>323</v>
      </c>
    </row>
    <row r="65" spans="1:6" x14ac:dyDescent="0.35">
      <c r="B65" s="1" t="s">
        <v>408</v>
      </c>
    </row>
    <row r="66" spans="1:6" x14ac:dyDescent="0.35">
      <c r="B66" s="1" t="s">
        <v>497</v>
      </c>
    </row>
    <row r="67" spans="1:6" x14ac:dyDescent="0.35">
      <c r="B67" s="1" t="s">
        <v>520</v>
      </c>
    </row>
    <row r="69" spans="1:6" x14ac:dyDescent="0.35">
      <c r="A69" t="s">
        <v>134</v>
      </c>
      <c r="B69" s="1" t="s">
        <v>522</v>
      </c>
      <c r="C69" t="s">
        <v>523</v>
      </c>
      <c r="D69">
        <v>2</v>
      </c>
      <c r="E69">
        <v>4000</v>
      </c>
      <c r="F69">
        <f>E69*D69</f>
        <v>8000</v>
      </c>
    </row>
    <row r="70" spans="1:6" x14ac:dyDescent="0.35">
      <c r="B70" s="3">
        <v>46027</v>
      </c>
    </row>
    <row r="71" spans="1:6" x14ac:dyDescent="0.35">
      <c r="B71" s="3">
        <v>46028</v>
      </c>
    </row>
    <row r="72" spans="1:6" x14ac:dyDescent="0.35">
      <c r="B72" s="3">
        <v>46029</v>
      </c>
    </row>
    <row r="73" spans="1:6" s="30" customFormat="1" x14ac:dyDescent="0.35">
      <c r="B73" s="29"/>
    </row>
    <row r="74" spans="1:6" x14ac:dyDescent="0.35">
      <c r="E74" s="12" t="s">
        <v>87</v>
      </c>
      <c r="F74" s="12">
        <f>SUM(F8:F73)</f>
        <v>168500</v>
      </c>
    </row>
    <row r="75" spans="1:6" x14ac:dyDescent="0.35">
      <c r="E75" t="s">
        <v>17</v>
      </c>
      <c r="F75">
        <v>110000</v>
      </c>
    </row>
    <row r="76" spans="1:6" x14ac:dyDescent="0.35">
      <c r="E76" s="12" t="s">
        <v>19</v>
      </c>
      <c r="F76" s="12">
        <f>F74-F75</f>
        <v>58500</v>
      </c>
    </row>
    <row r="78" spans="1:6" x14ac:dyDescent="0.35">
      <c r="B78" s="6" t="s">
        <v>75</v>
      </c>
      <c r="C78" s="12" t="s">
        <v>6</v>
      </c>
    </row>
    <row r="79" spans="1:6" x14ac:dyDescent="0.35">
      <c r="B79" s="1" t="s">
        <v>189</v>
      </c>
      <c r="C79">
        <v>40000</v>
      </c>
    </row>
    <row r="80" spans="1:6" x14ac:dyDescent="0.35">
      <c r="B80" s="1" t="s">
        <v>239</v>
      </c>
      <c r="C80">
        <v>30000</v>
      </c>
    </row>
    <row r="81" spans="2:3" x14ac:dyDescent="0.35">
      <c r="B81" s="1" t="s">
        <v>240</v>
      </c>
      <c r="C81">
        <v>40000</v>
      </c>
    </row>
    <row r="82" spans="2:3" x14ac:dyDescent="0.35">
      <c r="B82" s="6" t="s">
        <v>87</v>
      </c>
      <c r="C82" s="12">
        <f>SUM(C79:C81)</f>
        <v>110000</v>
      </c>
    </row>
  </sheetData>
  <mergeCells count="2">
    <mergeCell ref="A1:E4"/>
    <mergeCell ref="A5:E6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344D-DB97-48AC-92AC-1BD1BA25EA16}">
  <dimension ref="A1:F18"/>
  <sheetViews>
    <sheetView workbookViewId="0">
      <selection sqref="A1:H20"/>
    </sheetView>
  </sheetViews>
  <sheetFormatPr defaultRowHeight="14.5" x14ac:dyDescent="0.35"/>
  <cols>
    <col min="2" max="2" width="19.36328125" style="1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411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412</v>
      </c>
      <c r="C7" s="1" t="s">
        <v>413</v>
      </c>
      <c r="D7" s="1" t="s">
        <v>5</v>
      </c>
      <c r="E7" s="1" t="s">
        <v>123</v>
      </c>
      <c r="F7" s="1" t="s">
        <v>7</v>
      </c>
    </row>
    <row r="8" spans="1:6" x14ac:dyDescent="0.35">
      <c r="B8" s="1" t="s">
        <v>414</v>
      </c>
      <c r="D8">
        <v>6</v>
      </c>
      <c r="E8">
        <v>4000</v>
      </c>
      <c r="F8">
        <f>E8*D8</f>
        <v>24000</v>
      </c>
    </row>
    <row r="9" spans="1:6" x14ac:dyDescent="0.35">
      <c r="B9" s="1" t="s">
        <v>151</v>
      </c>
    </row>
    <row r="10" spans="1:6" x14ac:dyDescent="0.35">
      <c r="B10" s="1" t="s">
        <v>152</v>
      </c>
    </row>
    <row r="11" spans="1:6" x14ac:dyDescent="0.35">
      <c r="B11" s="1" t="s">
        <v>415</v>
      </c>
    </row>
    <row r="12" spans="1:6" x14ac:dyDescent="0.35">
      <c r="B12" s="1" t="s">
        <v>416</v>
      </c>
    </row>
    <row r="13" spans="1:6" x14ac:dyDescent="0.35">
      <c r="B13" s="1" t="s">
        <v>417</v>
      </c>
    </row>
    <row r="14" spans="1:6" x14ac:dyDescent="0.35">
      <c r="B14" s="1" t="s">
        <v>485</v>
      </c>
    </row>
    <row r="15" spans="1:6" x14ac:dyDescent="0.35">
      <c r="B15" s="1" t="s">
        <v>586</v>
      </c>
    </row>
    <row r="16" spans="1:6" x14ac:dyDescent="0.35">
      <c r="E16" s="12" t="s">
        <v>7</v>
      </c>
      <c r="F16" s="12">
        <f>SUM(F8:F15)</f>
        <v>24000</v>
      </c>
    </row>
    <row r="17" spans="5:6" x14ac:dyDescent="0.35">
      <c r="E17" t="s">
        <v>17</v>
      </c>
      <c r="F17">
        <v>10000</v>
      </c>
    </row>
    <row r="18" spans="5:6" x14ac:dyDescent="0.35">
      <c r="E18" s="12" t="s">
        <v>19</v>
      </c>
      <c r="F18" s="12">
        <f>F16-F17</f>
        <v>14000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9B58-B312-4095-81A7-E15D85C4A276}">
  <dimension ref="A1:F61"/>
  <sheetViews>
    <sheetView topLeftCell="A39" workbookViewId="0">
      <selection activeCell="F53" sqref="F53"/>
    </sheetView>
  </sheetViews>
  <sheetFormatPr defaultRowHeight="14.5" x14ac:dyDescent="0.35"/>
  <cols>
    <col min="2" max="2" width="19.81640625" style="1" customWidth="1"/>
    <col min="5" max="5" width="15.5429687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274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275</v>
      </c>
      <c r="C7" t="s">
        <v>276</v>
      </c>
      <c r="D7" s="1" t="s">
        <v>5</v>
      </c>
      <c r="E7" s="1" t="s">
        <v>123</v>
      </c>
      <c r="F7" s="1" t="s">
        <v>7</v>
      </c>
    </row>
    <row r="8" spans="1:6" x14ac:dyDescent="0.35">
      <c r="B8" s="1" t="s">
        <v>277</v>
      </c>
      <c r="D8">
        <v>9</v>
      </c>
      <c r="E8">
        <v>4000</v>
      </c>
      <c r="F8">
        <f>E8*D8</f>
        <v>36000</v>
      </c>
    </row>
    <row r="9" spans="1:6" x14ac:dyDescent="0.35">
      <c r="B9" s="1" t="s">
        <v>278</v>
      </c>
    </row>
    <row r="10" spans="1:6" x14ac:dyDescent="0.35">
      <c r="B10" s="1" t="s">
        <v>279</v>
      </c>
    </row>
    <row r="11" spans="1:6" x14ac:dyDescent="0.35">
      <c r="B11" s="1" t="s">
        <v>280</v>
      </c>
    </row>
    <row r="12" spans="1:6" x14ac:dyDescent="0.35">
      <c r="B12" s="1" t="s">
        <v>281</v>
      </c>
    </row>
    <row r="13" spans="1:6" x14ac:dyDescent="0.35">
      <c r="B13" s="1" t="s">
        <v>282</v>
      </c>
    </row>
    <row r="14" spans="1:6" x14ac:dyDescent="0.35">
      <c r="B14" s="1" t="s">
        <v>455</v>
      </c>
    </row>
    <row r="15" spans="1:6" x14ac:dyDescent="0.35">
      <c r="B15" s="1" t="s">
        <v>498</v>
      </c>
    </row>
    <row r="16" spans="1:6" x14ac:dyDescent="0.35">
      <c r="B16" s="1" t="s">
        <v>526</v>
      </c>
    </row>
    <row r="17" spans="1:6" x14ac:dyDescent="0.35">
      <c r="B17" s="1" t="s">
        <v>597</v>
      </c>
    </row>
    <row r="18" spans="1:6" x14ac:dyDescent="0.35">
      <c r="A18" t="s">
        <v>30</v>
      </c>
      <c r="B18" s="1" t="s">
        <v>283</v>
      </c>
      <c r="C18" t="s">
        <v>284</v>
      </c>
      <c r="D18">
        <v>2</v>
      </c>
      <c r="E18">
        <v>4000</v>
      </c>
      <c r="F18">
        <f>E18*D18</f>
        <v>8000</v>
      </c>
    </row>
    <row r="19" spans="1:6" x14ac:dyDescent="0.35">
      <c r="B19" s="1" t="s">
        <v>285</v>
      </c>
    </row>
    <row r="20" spans="1:6" x14ac:dyDescent="0.35">
      <c r="B20" s="1" t="s">
        <v>286</v>
      </c>
      <c r="E20" t="s">
        <v>157</v>
      </c>
      <c r="F20">
        <v>1500</v>
      </c>
    </row>
    <row r="21" spans="1:6" x14ac:dyDescent="0.35">
      <c r="A21" s="13" t="s">
        <v>40</v>
      </c>
      <c r="B21" s="1" t="s">
        <v>287</v>
      </c>
      <c r="E21" t="s">
        <v>289</v>
      </c>
      <c r="F21">
        <v>500</v>
      </c>
    </row>
    <row r="22" spans="1:6" x14ac:dyDescent="0.35">
      <c r="A22" t="s">
        <v>288</v>
      </c>
    </row>
    <row r="27" spans="1:6" x14ac:dyDescent="0.35">
      <c r="A27" t="s">
        <v>35</v>
      </c>
      <c r="B27" s="1" t="s">
        <v>290</v>
      </c>
      <c r="C27" t="s">
        <v>291</v>
      </c>
      <c r="D27">
        <v>9</v>
      </c>
      <c r="E27">
        <v>4000</v>
      </c>
      <c r="F27">
        <f>E27*D27</f>
        <v>36000</v>
      </c>
    </row>
    <row r="28" spans="1:6" x14ac:dyDescent="0.35">
      <c r="B28" s="3">
        <v>45726</v>
      </c>
    </row>
    <row r="29" spans="1:6" x14ac:dyDescent="0.35">
      <c r="B29" s="3">
        <v>45727</v>
      </c>
    </row>
    <row r="30" spans="1:6" x14ac:dyDescent="0.35">
      <c r="B30" s="3">
        <v>45728</v>
      </c>
    </row>
    <row r="31" spans="1:6" x14ac:dyDescent="0.35">
      <c r="B31" s="3">
        <v>46082</v>
      </c>
    </row>
    <row r="32" spans="1:6" x14ac:dyDescent="0.35">
      <c r="B32" s="3">
        <v>46083</v>
      </c>
    </row>
    <row r="33" spans="1:6" x14ac:dyDescent="0.35">
      <c r="B33" s="3">
        <v>46084</v>
      </c>
    </row>
    <row r="34" spans="1:6" x14ac:dyDescent="0.35">
      <c r="B34" s="3">
        <v>46085</v>
      </c>
    </row>
    <row r="35" spans="1:6" x14ac:dyDescent="0.35">
      <c r="B35" s="3">
        <v>46086</v>
      </c>
    </row>
    <row r="36" spans="1:6" x14ac:dyDescent="0.35">
      <c r="B36" s="3">
        <v>46087</v>
      </c>
    </row>
    <row r="37" spans="1:6" x14ac:dyDescent="0.35">
      <c r="B37" s="3">
        <v>46088</v>
      </c>
    </row>
    <row r="38" spans="1:6" x14ac:dyDescent="0.35">
      <c r="A38" t="s">
        <v>48</v>
      </c>
      <c r="B38" s="1" t="s">
        <v>292</v>
      </c>
      <c r="C38" t="s">
        <v>293</v>
      </c>
      <c r="D38">
        <v>9</v>
      </c>
      <c r="E38">
        <v>4000</v>
      </c>
      <c r="F38">
        <f>E38*D38</f>
        <v>36000</v>
      </c>
    </row>
    <row r="39" spans="1:6" x14ac:dyDescent="0.35">
      <c r="B39" s="1" t="s">
        <v>294</v>
      </c>
    </row>
    <row r="40" spans="1:6" x14ac:dyDescent="0.35">
      <c r="B40" s="1" t="s">
        <v>295</v>
      </c>
    </row>
    <row r="41" spans="1:6" x14ac:dyDescent="0.35">
      <c r="B41" s="1" t="s">
        <v>296</v>
      </c>
    </row>
    <row r="42" spans="1:6" x14ac:dyDescent="0.35">
      <c r="B42" s="1" t="s">
        <v>297</v>
      </c>
    </row>
    <row r="43" spans="1:6" x14ac:dyDescent="0.35">
      <c r="B43" s="1" t="s">
        <v>298</v>
      </c>
    </row>
    <row r="44" spans="1:6" x14ac:dyDescent="0.35">
      <c r="B44" s="1" t="s">
        <v>299</v>
      </c>
    </row>
    <row r="45" spans="1:6" x14ac:dyDescent="0.35">
      <c r="B45" s="1" t="s">
        <v>510</v>
      </c>
    </row>
    <row r="46" spans="1:6" x14ac:dyDescent="0.35">
      <c r="B46" s="1" t="s">
        <v>499</v>
      </c>
    </row>
    <row r="47" spans="1:6" x14ac:dyDescent="0.35">
      <c r="B47" s="1" t="s">
        <v>587</v>
      </c>
    </row>
    <row r="48" spans="1:6" x14ac:dyDescent="0.35">
      <c r="B48" s="1" t="s">
        <v>596</v>
      </c>
    </row>
    <row r="50" spans="2:6" x14ac:dyDescent="0.35">
      <c r="E50" s="6" t="s">
        <v>87</v>
      </c>
      <c r="F50" s="6">
        <f>SUM(F38+F27+F21+F18+F20+F8)</f>
        <v>118000</v>
      </c>
    </row>
    <row r="51" spans="2:6" x14ac:dyDescent="0.35">
      <c r="E51" s="1" t="s">
        <v>119</v>
      </c>
      <c r="F51" s="1">
        <v>422410</v>
      </c>
    </row>
    <row r="52" spans="2:6" x14ac:dyDescent="0.35">
      <c r="E52" s="6" t="s">
        <v>300</v>
      </c>
      <c r="F52" s="6">
        <f>F51+F50</f>
        <v>540410</v>
      </c>
    </row>
    <row r="56" spans="2:6" x14ac:dyDescent="0.35">
      <c r="B56"/>
    </row>
    <row r="57" spans="2:6" x14ac:dyDescent="0.35">
      <c r="B57"/>
    </row>
    <row r="58" spans="2:6" x14ac:dyDescent="0.35">
      <c r="B58"/>
    </row>
    <row r="59" spans="2:6" x14ac:dyDescent="0.35">
      <c r="B59"/>
    </row>
    <row r="60" spans="2:6" x14ac:dyDescent="0.35">
      <c r="B60"/>
    </row>
    <row r="61" spans="2:6" x14ac:dyDescent="0.35">
      <c r="B61"/>
    </row>
  </sheetData>
  <mergeCells count="2">
    <mergeCell ref="A1:E4"/>
    <mergeCell ref="A5:E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34D0-EE9E-4729-8107-42B49A72FC28}">
  <dimension ref="A1:F31"/>
  <sheetViews>
    <sheetView workbookViewId="0">
      <selection activeCell="I8" sqref="I8"/>
    </sheetView>
  </sheetViews>
  <sheetFormatPr defaultRowHeight="14.5" x14ac:dyDescent="0.35"/>
  <cols>
    <col min="2" max="2" width="16.1796875" style="1" customWidth="1"/>
    <col min="3" max="3" width="10.36328125" style="1" customWidth="1"/>
    <col min="4" max="6" width="8.7265625" style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331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332</v>
      </c>
      <c r="C7" s="1" t="s">
        <v>333</v>
      </c>
      <c r="D7" s="1" t="s">
        <v>5</v>
      </c>
      <c r="E7" s="1" t="s">
        <v>123</v>
      </c>
      <c r="F7" s="1" t="s">
        <v>7</v>
      </c>
    </row>
    <row r="8" spans="1:6" x14ac:dyDescent="0.35">
      <c r="B8" s="1" t="s">
        <v>334</v>
      </c>
      <c r="D8" s="7">
        <v>3</v>
      </c>
      <c r="E8" s="7">
        <v>4000</v>
      </c>
      <c r="F8" s="1">
        <f>E8*D8</f>
        <v>12000</v>
      </c>
    </row>
    <row r="9" spans="1:6" x14ac:dyDescent="0.35">
      <c r="A9" s="13" t="s">
        <v>40</v>
      </c>
      <c r="B9" s="1" t="s">
        <v>335</v>
      </c>
    </row>
    <row r="10" spans="1:6" x14ac:dyDescent="0.35">
      <c r="A10" t="s">
        <v>337</v>
      </c>
      <c r="B10" s="1" t="s">
        <v>338</v>
      </c>
    </row>
    <row r="11" spans="1:6" x14ac:dyDescent="0.35">
      <c r="B11" s="1" t="s">
        <v>336</v>
      </c>
    </row>
    <row r="14" spans="1:6" x14ac:dyDescent="0.35">
      <c r="A14" t="s">
        <v>13</v>
      </c>
      <c r="B14" s="1" t="s">
        <v>339</v>
      </c>
      <c r="C14" s="1" t="s">
        <v>340</v>
      </c>
      <c r="D14" s="7">
        <v>2</v>
      </c>
      <c r="E14" s="7">
        <v>4000</v>
      </c>
      <c r="F14" s="1">
        <f>E14*D14</f>
        <v>8000</v>
      </c>
    </row>
    <row r="15" spans="1:6" x14ac:dyDescent="0.35">
      <c r="B15" s="1" t="s">
        <v>341</v>
      </c>
      <c r="D15" s="7"/>
    </row>
    <row r="16" spans="1:6" x14ac:dyDescent="0.35">
      <c r="A16" s="13" t="s">
        <v>40</v>
      </c>
      <c r="B16" s="1" t="s">
        <v>92</v>
      </c>
    </row>
    <row r="17" spans="1:6" x14ac:dyDescent="0.35">
      <c r="A17" t="s">
        <v>336</v>
      </c>
      <c r="B17" s="1" t="s">
        <v>342</v>
      </c>
    </row>
    <row r="20" spans="1:6" x14ac:dyDescent="0.35">
      <c r="A20" t="s">
        <v>61</v>
      </c>
      <c r="B20" s="1" t="s">
        <v>343</v>
      </c>
      <c r="C20" s="1" t="s">
        <v>344</v>
      </c>
      <c r="D20" s="7">
        <v>2</v>
      </c>
      <c r="E20" s="7">
        <v>4000</v>
      </c>
      <c r="F20" s="1">
        <f>E20*D20</f>
        <v>8000</v>
      </c>
    </row>
    <row r="21" spans="1:6" x14ac:dyDescent="0.35">
      <c r="B21" s="11">
        <v>46235</v>
      </c>
    </row>
    <row r="22" spans="1:6" x14ac:dyDescent="0.35">
      <c r="A22" s="13" t="s">
        <v>40</v>
      </c>
      <c r="B22" s="11">
        <v>46236</v>
      </c>
    </row>
    <row r="23" spans="1:6" x14ac:dyDescent="0.35">
      <c r="A23" t="s">
        <v>337</v>
      </c>
      <c r="B23" s="11">
        <v>46237</v>
      </c>
    </row>
    <row r="26" spans="1:6" x14ac:dyDescent="0.35">
      <c r="A26" t="s">
        <v>67</v>
      </c>
      <c r="B26" s="1" t="s">
        <v>345</v>
      </c>
      <c r="C26" s="1" t="s">
        <v>346</v>
      </c>
      <c r="D26" s="7">
        <v>1</v>
      </c>
      <c r="E26" s="7">
        <v>4000</v>
      </c>
      <c r="F26" s="1">
        <f>E26*D26</f>
        <v>4000</v>
      </c>
    </row>
    <row r="27" spans="1:6" x14ac:dyDescent="0.35">
      <c r="B27" s="11">
        <v>46144</v>
      </c>
    </row>
    <row r="28" spans="1:6" x14ac:dyDescent="0.35">
      <c r="A28" s="13" t="s">
        <v>40</v>
      </c>
      <c r="B28" s="11">
        <v>46145</v>
      </c>
    </row>
    <row r="29" spans="1:6" x14ac:dyDescent="0.35">
      <c r="A29" t="s">
        <v>337</v>
      </c>
    </row>
    <row r="31" spans="1:6" x14ac:dyDescent="0.35">
      <c r="E31" s="6" t="s">
        <v>87</v>
      </c>
      <c r="F31" s="6">
        <f>SUM(F8:F30)</f>
        <v>32000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203C-836E-4DA1-8B71-8E5C78D26EA9}">
  <dimension ref="A1:F25"/>
  <sheetViews>
    <sheetView workbookViewId="0">
      <selection activeCell="I7" sqref="I7"/>
    </sheetView>
  </sheetViews>
  <sheetFormatPr defaultRowHeight="14.5" x14ac:dyDescent="0.35"/>
  <cols>
    <col min="2" max="2" width="22.7265625" customWidth="1"/>
    <col min="3" max="3" width="11.36328125" customWidth="1"/>
  </cols>
  <sheetData>
    <row r="1" spans="1:6" x14ac:dyDescent="0.35">
      <c r="A1" s="34" t="s">
        <v>0</v>
      </c>
      <c r="B1" s="34"/>
      <c r="C1" s="34"/>
      <c r="D1" s="34"/>
      <c r="E1" s="34"/>
      <c r="F1" s="1"/>
    </row>
    <row r="2" spans="1:6" x14ac:dyDescent="0.35">
      <c r="A2" s="34"/>
      <c r="B2" s="34"/>
      <c r="C2" s="34"/>
      <c r="D2" s="34"/>
      <c r="E2" s="34"/>
      <c r="F2" s="1"/>
    </row>
    <row r="3" spans="1:6" x14ac:dyDescent="0.35">
      <c r="A3" s="34"/>
      <c r="B3" s="34"/>
      <c r="C3" s="34"/>
      <c r="D3" s="34"/>
      <c r="E3" s="34"/>
      <c r="F3" s="1"/>
    </row>
    <row r="4" spans="1:6" x14ac:dyDescent="0.35">
      <c r="A4" s="34"/>
      <c r="B4" s="34"/>
      <c r="C4" s="34"/>
      <c r="D4" s="34"/>
      <c r="E4" s="34"/>
      <c r="F4" s="1"/>
    </row>
    <row r="5" spans="1:6" x14ac:dyDescent="0.35">
      <c r="A5" s="35" t="s">
        <v>331</v>
      </c>
      <c r="B5" s="35"/>
      <c r="C5" s="35"/>
      <c r="D5" s="35"/>
      <c r="E5" s="35"/>
      <c r="F5" s="1"/>
    </row>
    <row r="6" spans="1:6" x14ac:dyDescent="0.35">
      <c r="A6" s="35"/>
      <c r="B6" s="35"/>
      <c r="C6" s="35"/>
      <c r="D6" s="35"/>
      <c r="E6" s="35"/>
      <c r="F6" s="1"/>
    </row>
    <row r="7" spans="1:6" x14ac:dyDescent="0.35">
      <c r="A7" t="s">
        <v>42</v>
      </c>
      <c r="B7" s="1" t="s">
        <v>514</v>
      </c>
      <c r="C7" s="1" t="s">
        <v>515</v>
      </c>
      <c r="D7" s="1" t="s">
        <v>5</v>
      </c>
      <c r="E7" s="1" t="s">
        <v>123</v>
      </c>
      <c r="F7" s="1" t="s">
        <v>7</v>
      </c>
    </row>
    <row r="8" spans="1:6" x14ac:dyDescent="0.35">
      <c r="A8" s="12"/>
      <c r="B8" s="3">
        <v>46360</v>
      </c>
      <c r="C8" s="1"/>
      <c r="D8" s="7">
        <v>2</v>
      </c>
      <c r="E8" s="7">
        <v>4000</v>
      </c>
      <c r="F8" s="1">
        <f>E8*D8</f>
        <v>8000</v>
      </c>
    </row>
    <row r="9" spans="1:6" x14ac:dyDescent="0.35">
      <c r="A9" s="31"/>
      <c r="B9" s="3">
        <v>46361</v>
      </c>
      <c r="C9" s="1"/>
      <c r="D9" s="1"/>
      <c r="E9" s="1"/>
      <c r="F9" s="1"/>
    </row>
    <row r="10" spans="1:6" x14ac:dyDescent="0.35">
      <c r="A10" s="12"/>
      <c r="B10" s="3">
        <v>46362</v>
      </c>
      <c r="C10" s="1"/>
      <c r="D10" s="1"/>
      <c r="E10" s="1"/>
      <c r="F10" s="1"/>
    </row>
    <row r="11" spans="1:6" x14ac:dyDescent="0.35">
      <c r="B11" s="1"/>
      <c r="C11" s="1"/>
      <c r="D11" s="1"/>
      <c r="E11" s="1"/>
      <c r="F11" s="1"/>
    </row>
    <row r="12" spans="1:6" x14ac:dyDescent="0.35">
      <c r="B12" s="1"/>
      <c r="C12" s="1"/>
      <c r="D12" s="1"/>
      <c r="E12" s="1"/>
      <c r="F12" s="1"/>
    </row>
    <row r="13" spans="1:6" x14ac:dyDescent="0.35">
      <c r="B13" s="1"/>
      <c r="C13" s="1"/>
      <c r="D13" s="1"/>
      <c r="E13" s="1"/>
      <c r="F13" s="1"/>
    </row>
    <row r="14" spans="1:6" x14ac:dyDescent="0.35">
      <c r="A14" t="s">
        <v>13</v>
      </c>
      <c r="B14" s="1" t="s">
        <v>516</v>
      </c>
      <c r="C14" s="1" t="s">
        <v>263</v>
      </c>
      <c r="D14" s="7">
        <v>2</v>
      </c>
      <c r="E14" s="7">
        <v>4000</v>
      </c>
      <c r="F14" s="1">
        <f>E14*D14</f>
        <v>8000</v>
      </c>
    </row>
    <row r="15" spans="1:6" x14ac:dyDescent="0.35">
      <c r="B15" s="1" t="s">
        <v>396</v>
      </c>
      <c r="C15" s="1"/>
      <c r="D15" s="7"/>
      <c r="E15" s="1"/>
      <c r="F15" s="1"/>
    </row>
    <row r="16" spans="1:6" x14ac:dyDescent="0.35">
      <c r="B16" s="1" t="s">
        <v>474</v>
      </c>
      <c r="C16" s="1"/>
      <c r="D16" s="1"/>
      <c r="E16" s="1"/>
    </row>
    <row r="17" spans="1:6" x14ac:dyDescent="0.35">
      <c r="B17" s="1" t="s">
        <v>517</v>
      </c>
      <c r="C17" s="1"/>
      <c r="D17" s="1"/>
      <c r="E17" s="1"/>
    </row>
    <row r="18" spans="1:6" x14ac:dyDescent="0.35">
      <c r="B18" s="1"/>
      <c r="C18" s="1"/>
      <c r="D18" s="1"/>
      <c r="E18" s="1"/>
      <c r="F18" s="1"/>
    </row>
    <row r="19" spans="1:6" x14ac:dyDescent="0.35">
      <c r="B19" s="1"/>
      <c r="C19" s="1"/>
      <c r="D19" s="1"/>
      <c r="E19" s="1"/>
      <c r="F19" s="1"/>
    </row>
    <row r="20" spans="1:6" x14ac:dyDescent="0.35">
      <c r="A20" t="s">
        <v>35</v>
      </c>
      <c r="B20" s="1" t="s">
        <v>518</v>
      </c>
      <c r="C20" s="1" t="s">
        <v>519</v>
      </c>
      <c r="D20" s="7">
        <v>2</v>
      </c>
      <c r="E20" s="7">
        <v>4000</v>
      </c>
      <c r="F20" s="1">
        <f>E20*D20</f>
        <v>8000</v>
      </c>
    </row>
    <row r="21" spans="1:6" x14ac:dyDescent="0.35">
      <c r="B21" s="11" t="s">
        <v>408</v>
      </c>
      <c r="C21" s="1"/>
      <c r="D21" s="1"/>
      <c r="E21" s="1"/>
      <c r="F21" s="1"/>
    </row>
    <row r="22" spans="1:6" x14ac:dyDescent="0.35">
      <c r="B22" s="11" t="s">
        <v>497</v>
      </c>
      <c r="C22" s="1"/>
      <c r="D22" s="1"/>
      <c r="E22" s="1"/>
      <c r="F22" s="1"/>
    </row>
    <row r="23" spans="1:6" x14ac:dyDescent="0.35">
      <c r="B23" s="11" t="s">
        <v>520</v>
      </c>
      <c r="C23" s="1"/>
      <c r="D23" s="1"/>
      <c r="E23" s="1"/>
      <c r="F23" s="1"/>
    </row>
    <row r="25" spans="1:6" x14ac:dyDescent="0.35">
      <c r="E25" s="12" t="s">
        <v>87</v>
      </c>
      <c r="F25" s="12">
        <f>SUM(F8:F20)</f>
        <v>24000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5912-903C-4ED8-807F-174E817D4BB0}">
  <dimension ref="A1:F59"/>
  <sheetViews>
    <sheetView topLeftCell="A28" zoomScale="102" workbookViewId="0">
      <selection activeCell="A44" sqref="A44"/>
    </sheetView>
  </sheetViews>
  <sheetFormatPr defaultRowHeight="14.5" x14ac:dyDescent="0.35"/>
  <cols>
    <col min="1" max="1" width="11.08984375" bestFit="1" customWidth="1"/>
    <col min="2" max="2" width="21.1796875" style="1" customWidth="1"/>
    <col min="3" max="3" width="10.179687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329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C7" s="1"/>
      <c r="D7" s="1"/>
      <c r="E7" s="1"/>
    </row>
    <row r="8" spans="1:6" x14ac:dyDescent="0.35">
      <c r="A8" t="s">
        <v>2</v>
      </c>
      <c r="B8" s="1" t="s">
        <v>315</v>
      </c>
      <c r="C8" s="1" t="s">
        <v>55</v>
      </c>
      <c r="D8" s="1" t="s">
        <v>5</v>
      </c>
      <c r="E8" s="1" t="s">
        <v>6</v>
      </c>
      <c r="F8" s="1" t="s">
        <v>7</v>
      </c>
    </row>
    <row r="9" spans="1:6" x14ac:dyDescent="0.35">
      <c r="B9" s="1" t="s">
        <v>420</v>
      </c>
      <c r="D9" s="16">
        <v>7</v>
      </c>
      <c r="E9" s="16">
        <v>4000</v>
      </c>
      <c r="F9">
        <f>E9*D9</f>
        <v>28000</v>
      </c>
    </row>
    <row r="10" spans="1:6" x14ac:dyDescent="0.35">
      <c r="B10" s="1" t="s">
        <v>421</v>
      </c>
    </row>
    <row r="11" spans="1:6" x14ac:dyDescent="0.35">
      <c r="B11" s="1" t="s">
        <v>160</v>
      </c>
    </row>
    <row r="12" spans="1:6" x14ac:dyDescent="0.35">
      <c r="B12" s="1" t="s">
        <v>422</v>
      </c>
    </row>
    <row r="13" spans="1:6" x14ac:dyDescent="0.35">
      <c r="B13" s="1" t="s">
        <v>423</v>
      </c>
    </row>
    <row r="14" spans="1:6" x14ac:dyDescent="0.35">
      <c r="B14" s="1" t="s">
        <v>424</v>
      </c>
    </row>
    <row r="15" spans="1:6" x14ac:dyDescent="0.35">
      <c r="B15" s="1" t="s">
        <v>425</v>
      </c>
    </row>
    <row r="16" spans="1:6" x14ac:dyDescent="0.35">
      <c r="B16" s="1" t="s">
        <v>486</v>
      </c>
    </row>
    <row r="19" spans="1:6" x14ac:dyDescent="0.35">
      <c r="A19" t="s">
        <v>13</v>
      </c>
      <c r="B19" s="1" t="s">
        <v>317</v>
      </c>
      <c r="C19" t="s">
        <v>318</v>
      </c>
    </row>
    <row r="20" spans="1:6" x14ac:dyDescent="0.35">
      <c r="B20" s="11">
        <v>45819</v>
      </c>
      <c r="D20" s="16">
        <v>4</v>
      </c>
      <c r="E20" s="16">
        <v>4000</v>
      </c>
      <c r="F20">
        <f>E20*D20</f>
        <v>16000</v>
      </c>
    </row>
    <row r="21" spans="1:6" x14ac:dyDescent="0.35">
      <c r="B21" s="11">
        <v>45820</v>
      </c>
    </row>
    <row r="22" spans="1:6" x14ac:dyDescent="0.35">
      <c r="B22" s="11">
        <v>46174</v>
      </c>
    </row>
    <row r="23" spans="1:6" x14ac:dyDescent="0.35">
      <c r="A23" s="13" t="s">
        <v>159</v>
      </c>
      <c r="B23" s="11">
        <v>46175</v>
      </c>
    </row>
    <row r="24" spans="1:6" x14ac:dyDescent="0.35">
      <c r="A24" t="s">
        <v>426</v>
      </c>
      <c r="B24" s="11">
        <v>46176</v>
      </c>
    </row>
    <row r="27" spans="1:6" x14ac:dyDescent="0.35">
      <c r="A27" t="s">
        <v>35</v>
      </c>
      <c r="B27" s="1" t="s">
        <v>319</v>
      </c>
      <c r="C27" t="s">
        <v>320</v>
      </c>
      <c r="D27" s="16">
        <v>4</v>
      </c>
      <c r="E27" s="16">
        <v>4000</v>
      </c>
      <c r="F27">
        <f>E27*D27</f>
        <v>16000</v>
      </c>
    </row>
    <row r="28" spans="1:6" x14ac:dyDescent="0.35">
      <c r="B28" s="1" t="s">
        <v>271</v>
      </c>
    </row>
    <row r="29" spans="1:6" x14ac:dyDescent="0.35">
      <c r="B29" s="1" t="s">
        <v>272</v>
      </c>
    </row>
    <row r="30" spans="1:6" x14ac:dyDescent="0.35">
      <c r="B30" s="1" t="s">
        <v>321</v>
      </c>
    </row>
    <row r="31" spans="1:6" x14ac:dyDescent="0.35">
      <c r="A31" s="13" t="s">
        <v>40</v>
      </c>
      <c r="B31" s="1" t="s">
        <v>322</v>
      </c>
    </row>
    <row r="32" spans="1:6" x14ac:dyDescent="0.35">
      <c r="A32" t="s">
        <v>419</v>
      </c>
      <c r="B32" s="1" t="s">
        <v>323</v>
      </c>
    </row>
    <row r="35" spans="1:6" x14ac:dyDescent="0.35">
      <c r="A35" t="s">
        <v>67</v>
      </c>
      <c r="B35" s="1" t="s">
        <v>324</v>
      </c>
      <c r="C35" t="s">
        <v>325</v>
      </c>
      <c r="D35" s="16">
        <v>6</v>
      </c>
      <c r="E35" s="16">
        <v>4000</v>
      </c>
      <c r="F35">
        <f>E35*D35</f>
        <v>24000</v>
      </c>
    </row>
    <row r="36" spans="1:6" x14ac:dyDescent="0.35">
      <c r="B36" s="1" t="s">
        <v>271</v>
      </c>
    </row>
    <row r="37" spans="1:6" x14ac:dyDescent="0.35">
      <c r="B37" s="1" t="s">
        <v>272</v>
      </c>
    </row>
    <row r="38" spans="1:6" x14ac:dyDescent="0.35">
      <c r="B38" s="1" t="s">
        <v>321</v>
      </c>
    </row>
    <row r="39" spans="1:6" x14ac:dyDescent="0.35">
      <c r="B39" s="1" t="s">
        <v>322</v>
      </c>
    </row>
    <row r="40" spans="1:6" x14ac:dyDescent="0.35">
      <c r="B40" s="1" t="s">
        <v>323</v>
      </c>
    </row>
    <row r="41" spans="1:6" x14ac:dyDescent="0.35">
      <c r="B41" s="1" t="s">
        <v>408</v>
      </c>
    </row>
    <row r="42" spans="1:6" x14ac:dyDescent="0.35">
      <c r="B42" s="1" t="s">
        <v>497</v>
      </c>
    </row>
    <row r="44" spans="1:6" x14ac:dyDescent="0.35">
      <c r="A44" t="s">
        <v>307</v>
      </c>
      <c r="B44" s="1" t="s">
        <v>326</v>
      </c>
      <c r="C44" t="s">
        <v>427</v>
      </c>
      <c r="D44" s="16">
        <v>2</v>
      </c>
      <c r="E44" s="16">
        <v>4000</v>
      </c>
      <c r="F44">
        <f>E44*D44</f>
        <v>8000</v>
      </c>
    </row>
    <row r="45" spans="1:6" x14ac:dyDescent="0.35">
      <c r="B45" s="1" t="s">
        <v>428</v>
      </c>
    </row>
    <row r="46" spans="1:6" x14ac:dyDescent="0.35">
      <c r="B46" s="1" t="s">
        <v>429</v>
      </c>
    </row>
    <row r="47" spans="1:6" x14ac:dyDescent="0.35">
      <c r="A47" s="13" t="s">
        <v>40</v>
      </c>
      <c r="B47" s="1" t="s">
        <v>430</v>
      </c>
    </row>
    <row r="48" spans="1:6" x14ac:dyDescent="0.35">
      <c r="A48" s="27">
        <v>46024</v>
      </c>
    </row>
    <row r="51" spans="2:6" x14ac:dyDescent="0.35">
      <c r="E51" s="12" t="s">
        <v>87</v>
      </c>
      <c r="F51" s="12">
        <f>SUM(F9:F50)</f>
        <v>92000</v>
      </c>
    </row>
    <row r="52" spans="2:6" x14ac:dyDescent="0.35">
      <c r="E52" t="s">
        <v>17</v>
      </c>
      <c r="F52" s="16">
        <v>43000</v>
      </c>
    </row>
    <row r="53" spans="2:6" x14ac:dyDescent="0.35">
      <c r="E53" s="12" t="s">
        <v>431</v>
      </c>
      <c r="F53" s="18">
        <f>F51-F52</f>
        <v>49000</v>
      </c>
    </row>
    <row r="54" spans="2:6" x14ac:dyDescent="0.35">
      <c r="B54" s="6" t="s">
        <v>75</v>
      </c>
      <c r="C54" s="6" t="s">
        <v>6</v>
      </c>
    </row>
    <row r="55" spans="2:6" x14ac:dyDescent="0.35">
      <c r="B55" s="6" t="s">
        <v>327</v>
      </c>
      <c r="C55" s="6">
        <v>4000</v>
      </c>
    </row>
    <row r="56" spans="2:6" x14ac:dyDescent="0.35">
      <c r="B56" s="8">
        <v>45819</v>
      </c>
      <c r="C56" s="6">
        <v>4000</v>
      </c>
    </row>
    <row r="57" spans="2:6" x14ac:dyDescent="0.35">
      <c r="B57" s="6" t="s">
        <v>328</v>
      </c>
      <c r="C57" s="6">
        <v>10000</v>
      </c>
    </row>
    <row r="58" spans="2:6" x14ac:dyDescent="0.35">
      <c r="B58" s="8">
        <v>46058</v>
      </c>
      <c r="C58" s="6">
        <v>25000</v>
      </c>
    </row>
    <row r="59" spans="2:6" x14ac:dyDescent="0.35">
      <c r="B59" s="6" t="s">
        <v>17</v>
      </c>
      <c r="C59" s="6">
        <f>SUM(C55:C58)</f>
        <v>43000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5B46-387F-48DC-952B-56502D4630A1}">
  <dimension ref="A1:F26"/>
  <sheetViews>
    <sheetView workbookViewId="0">
      <selection activeCell="D9" sqref="D9"/>
    </sheetView>
  </sheetViews>
  <sheetFormatPr defaultRowHeight="14.5" x14ac:dyDescent="0.35"/>
  <cols>
    <col min="2" max="2" width="17.6328125" style="1" customWidth="1"/>
    <col min="4" max="6" width="8.7265625" style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347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348</v>
      </c>
      <c r="C7" t="s">
        <v>349</v>
      </c>
      <c r="D7" s="1" t="s">
        <v>5</v>
      </c>
      <c r="E7" s="1" t="s">
        <v>123</v>
      </c>
      <c r="F7" s="1" t="s">
        <v>7</v>
      </c>
    </row>
    <row r="8" spans="1:6" x14ac:dyDescent="0.35">
      <c r="B8" s="3">
        <v>45669</v>
      </c>
      <c r="D8" s="1">
        <v>6</v>
      </c>
      <c r="E8" s="1">
        <v>4000</v>
      </c>
      <c r="F8" s="1">
        <f>E8*D8</f>
        <v>24000</v>
      </c>
    </row>
    <row r="9" spans="1:6" x14ac:dyDescent="0.35">
      <c r="B9" s="3">
        <v>46023</v>
      </c>
    </row>
    <row r="10" spans="1:6" x14ac:dyDescent="0.35">
      <c r="B10" s="3">
        <v>46024</v>
      </c>
    </row>
    <row r="11" spans="1:6" x14ac:dyDescent="0.35">
      <c r="B11" s="3">
        <v>46025</v>
      </c>
    </row>
    <row r="12" spans="1:6" x14ac:dyDescent="0.35">
      <c r="B12" s="3">
        <v>46026</v>
      </c>
    </row>
    <row r="13" spans="1:6" x14ac:dyDescent="0.35">
      <c r="B13" s="3">
        <v>46027</v>
      </c>
    </row>
    <row r="14" spans="1:6" x14ac:dyDescent="0.35">
      <c r="B14" s="3">
        <v>46028</v>
      </c>
    </row>
    <row r="16" spans="1:6" x14ac:dyDescent="0.35">
      <c r="E16" s="6" t="s">
        <v>87</v>
      </c>
      <c r="F16" s="6">
        <f>SUM(F8:F15)</f>
        <v>24000</v>
      </c>
    </row>
    <row r="17" spans="2:6" x14ac:dyDescent="0.35">
      <c r="E17" s="1" t="s">
        <v>17</v>
      </c>
      <c r="F17" s="1">
        <v>16000</v>
      </c>
    </row>
    <row r="18" spans="2:6" x14ac:dyDescent="0.35">
      <c r="E18" s="6" t="s">
        <v>350</v>
      </c>
      <c r="F18" s="6">
        <f>F16-F17</f>
        <v>8000</v>
      </c>
    </row>
    <row r="22" spans="2:6" x14ac:dyDescent="0.35">
      <c r="B22" s="6" t="s">
        <v>75</v>
      </c>
      <c r="C22" s="12" t="s">
        <v>6</v>
      </c>
    </row>
    <row r="23" spans="2:6" x14ac:dyDescent="0.35">
      <c r="B23" s="8">
        <v>45850</v>
      </c>
      <c r="C23" s="12">
        <v>4000</v>
      </c>
    </row>
    <row r="24" spans="2:6" x14ac:dyDescent="0.35">
      <c r="B24" s="6" t="s">
        <v>435</v>
      </c>
      <c r="C24" s="12">
        <v>12000</v>
      </c>
    </row>
    <row r="25" spans="2:6" x14ac:dyDescent="0.35">
      <c r="B25" s="6"/>
      <c r="C25" s="12"/>
    </row>
    <row r="26" spans="2:6" x14ac:dyDescent="0.35">
      <c r="B26" s="6" t="s">
        <v>87</v>
      </c>
      <c r="C26" s="12">
        <f>SUM(C23:C25)</f>
        <v>16000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D493-56D3-4676-88DA-74EB1BC27348}">
  <dimension ref="A1:N39"/>
  <sheetViews>
    <sheetView topLeftCell="A38" workbookViewId="0">
      <selection sqref="A1:F40"/>
    </sheetView>
  </sheetViews>
  <sheetFormatPr defaultRowHeight="14.5" x14ac:dyDescent="0.35"/>
  <cols>
    <col min="1" max="1" width="10.453125" bestFit="1" customWidth="1"/>
    <col min="2" max="2" width="17.54296875" style="1" customWidth="1"/>
    <col min="14" max="14" width="11.453125" bestFit="1" customWidth="1"/>
  </cols>
  <sheetData>
    <row r="1" spans="1:14" x14ac:dyDescent="0.35">
      <c r="A1" s="34" t="s">
        <v>0</v>
      </c>
      <c r="B1" s="34"/>
      <c r="C1" s="34"/>
      <c r="D1" s="34"/>
      <c r="E1" s="34"/>
    </row>
    <row r="2" spans="1:14" x14ac:dyDescent="0.35">
      <c r="A2" s="34"/>
      <c r="B2" s="34"/>
      <c r="C2" s="34"/>
      <c r="D2" s="34"/>
      <c r="E2" s="34"/>
    </row>
    <row r="3" spans="1:14" x14ac:dyDescent="0.35">
      <c r="A3" s="34"/>
      <c r="B3" s="34"/>
      <c r="C3" s="34"/>
      <c r="D3" s="34"/>
      <c r="E3" s="34"/>
    </row>
    <row r="4" spans="1:14" x14ac:dyDescent="0.35">
      <c r="A4" s="34"/>
      <c r="B4" s="34"/>
      <c r="C4" s="34"/>
      <c r="D4" s="34"/>
      <c r="E4" s="34"/>
    </row>
    <row r="5" spans="1:14" x14ac:dyDescent="0.35">
      <c r="A5" s="35" t="s">
        <v>354</v>
      </c>
      <c r="B5" s="35"/>
      <c r="C5" s="35"/>
      <c r="D5" s="35"/>
      <c r="E5" s="35"/>
    </row>
    <row r="6" spans="1:14" x14ac:dyDescent="0.35">
      <c r="A6" s="35"/>
      <c r="B6" s="35"/>
      <c r="C6" s="35"/>
      <c r="D6" s="35"/>
      <c r="E6" s="35"/>
    </row>
    <row r="7" spans="1:14" x14ac:dyDescent="0.35">
      <c r="A7" t="s">
        <v>42</v>
      </c>
      <c r="B7" s="1" t="s">
        <v>355</v>
      </c>
      <c r="C7" t="s">
        <v>356</v>
      </c>
      <c r="D7" s="1" t="s">
        <v>5</v>
      </c>
      <c r="E7" s="1" t="s">
        <v>123</v>
      </c>
      <c r="F7" s="1" t="s">
        <v>7</v>
      </c>
    </row>
    <row r="8" spans="1:14" x14ac:dyDescent="0.35">
      <c r="B8" s="3">
        <v>45996</v>
      </c>
      <c r="D8">
        <v>7</v>
      </c>
      <c r="E8">
        <v>4000</v>
      </c>
      <c r="F8">
        <f>E8*D8</f>
        <v>28000</v>
      </c>
    </row>
    <row r="9" spans="1:14" x14ac:dyDescent="0.35">
      <c r="B9" s="3">
        <v>45997</v>
      </c>
      <c r="N9" s="27"/>
    </row>
    <row r="10" spans="1:14" x14ac:dyDescent="0.35">
      <c r="B10" s="3">
        <v>45998</v>
      </c>
      <c r="N10" s="27"/>
    </row>
    <row r="11" spans="1:14" x14ac:dyDescent="0.35">
      <c r="A11" s="13" t="s">
        <v>40</v>
      </c>
      <c r="B11" s="3">
        <v>45999</v>
      </c>
      <c r="N11" s="27"/>
    </row>
    <row r="12" spans="1:14" x14ac:dyDescent="0.35">
      <c r="A12" s="2">
        <v>46002</v>
      </c>
      <c r="B12" s="3">
        <v>46000</v>
      </c>
      <c r="N12" s="27"/>
    </row>
    <row r="13" spans="1:14" x14ac:dyDescent="0.35">
      <c r="B13" s="3">
        <v>46001</v>
      </c>
      <c r="N13" s="27"/>
    </row>
    <row r="14" spans="1:14" x14ac:dyDescent="0.35">
      <c r="B14" s="3">
        <v>46002</v>
      </c>
    </row>
    <row r="15" spans="1:14" x14ac:dyDescent="0.35">
      <c r="B15" s="3">
        <v>46003</v>
      </c>
    </row>
    <row r="16" spans="1:14" x14ac:dyDescent="0.35">
      <c r="B16" s="3"/>
    </row>
    <row r="17" spans="1:6" x14ac:dyDescent="0.35">
      <c r="A17" t="s">
        <v>30</v>
      </c>
      <c r="B17" s="1" t="s">
        <v>357</v>
      </c>
      <c r="C17" s="1" t="s">
        <v>358</v>
      </c>
      <c r="D17">
        <v>11</v>
      </c>
      <c r="E17">
        <v>4000</v>
      </c>
      <c r="F17">
        <f>E17*D17</f>
        <v>44000</v>
      </c>
    </row>
    <row r="18" spans="1:6" x14ac:dyDescent="0.35">
      <c r="B18" s="3">
        <v>45724</v>
      </c>
    </row>
    <row r="19" spans="1:6" x14ac:dyDescent="0.35">
      <c r="B19" s="3">
        <v>45725</v>
      </c>
    </row>
    <row r="20" spans="1:6" x14ac:dyDescent="0.35">
      <c r="B20" s="3">
        <v>45726</v>
      </c>
    </row>
    <row r="21" spans="1:6" x14ac:dyDescent="0.35">
      <c r="B21" s="3">
        <v>45727</v>
      </c>
    </row>
    <row r="22" spans="1:6" x14ac:dyDescent="0.35">
      <c r="B22" s="3">
        <v>45728</v>
      </c>
    </row>
    <row r="23" spans="1:6" x14ac:dyDescent="0.35">
      <c r="B23" s="3">
        <v>46082</v>
      </c>
    </row>
    <row r="24" spans="1:6" x14ac:dyDescent="0.35">
      <c r="B24" s="3">
        <v>46083</v>
      </c>
    </row>
    <row r="25" spans="1:6" x14ac:dyDescent="0.35">
      <c r="B25" s="3">
        <v>46084</v>
      </c>
    </row>
    <row r="26" spans="1:6" x14ac:dyDescent="0.35">
      <c r="B26" s="3">
        <v>46085</v>
      </c>
    </row>
    <row r="27" spans="1:6" x14ac:dyDescent="0.35">
      <c r="B27" s="3">
        <v>46086</v>
      </c>
    </row>
    <row r="28" spans="1:6" x14ac:dyDescent="0.35">
      <c r="B28" s="3">
        <v>46087</v>
      </c>
      <c r="E28" s="12" t="s">
        <v>87</v>
      </c>
      <c r="F28" s="12">
        <f>SUM(F8:F27)</f>
        <v>72000</v>
      </c>
    </row>
    <row r="29" spans="1:6" x14ac:dyDescent="0.35">
      <c r="B29" s="3">
        <v>46088</v>
      </c>
      <c r="E29" t="s">
        <v>17</v>
      </c>
      <c r="F29">
        <v>57000</v>
      </c>
    </row>
    <row r="30" spans="1:6" x14ac:dyDescent="0.35">
      <c r="E30" s="12" t="s">
        <v>87</v>
      </c>
      <c r="F30" s="12">
        <f>F28-F29</f>
        <v>15000</v>
      </c>
    </row>
    <row r="34" spans="2:3" x14ac:dyDescent="0.35">
      <c r="B34" s="6" t="s">
        <v>75</v>
      </c>
      <c r="C34" s="12" t="s">
        <v>6</v>
      </c>
    </row>
    <row r="35" spans="2:3" x14ac:dyDescent="0.35">
      <c r="B35" s="3">
        <v>45906</v>
      </c>
      <c r="C35">
        <v>7000</v>
      </c>
    </row>
    <row r="36" spans="2:3" x14ac:dyDescent="0.35">
      <c r="B36" s="1" t="s">
        <v>34</v>
      </c>
      <c r="C36">
        <v>20000</v>
      </c>
    </row>
    <row r="37" spans="2:3" x14ac:dyDescent="0.35">
      <c r="B37" s="1" t="s">
        <v>395</v>
      </c>
      <c r="C37">
        <v>15000</v>
      </c>
    </row>
    <row r="38" spans="2:3" ht="14.5" customHeight="1" x14ac:dyDescent="0.35">
      <c r="B38" s="3">
        <v>46178</v>
      </c>
      <c r="C38">
        <v>15000</v>
      </c>
    </row>
    <row r="39" spans="2:3" x14ac:dyDescent="0.35">
      <c r="B39" s="6" t="s">
        <v>87</v>
      </c>
      <c r="C39" s="12">
        <f>SUM(C35:C38)</f>
        <v>57000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5A03-969B-4878-A008-5D103465AE3E}">
  <dimension ref="A1:F29"/>
  <sheetViews>
    <sheetView topLeftCell="A10" workbookViewId="0">
      <selection activeCell="F22" sqref="F22"/>
    </sheetView>
  </sheetViews>
  <sheetFormatPr defaultRowHeight="14.5" x14ac:dyDescent="0.35"/>
  <cols>
    <col min="2" max="2" width="15.08984375" style="1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361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201</v>
      </c>
      <c r="C7" s="1" t="s">
        <v>202</v>
      </c>
      <c r="D7" s="1" t="s">
        <v>5</v>
      </c>
      <c r="E7" s="1" t="s">
        <v>123</v>
      </c>
      <c r="F7" s="1" t="s">
        <v>7</v>
      </c>
    </row>
    <row r="8" spans="1:6" x14ac:dyDescent="0.35">
      <c r="B8" s="3">
        <v>45700</v>
      </c>
      <c r="D8">
        <v>3</v>
      </c>
      <c r="E8">
        <v>4000</v>
      </c>
      <c r="F8">
        <f>E8*D8</f>
        <v>12000</v>
      </c>
    </row>
    <row r="9" spans="1:6" x14ac:dyDescent="0.35">
      <c r="B9" s="3">
        <v>46054</v>
      </c>
    </row>
    <row r="10" spans="1:6" x14ac:dyDescent="0.35">
      <c r="A10" s="13" t="s">
        <v>159</v>
      </c>
      <c r="B10" s="3">
        <v>46055</v>
      </c>
    </row>
    <row r="11" spans="1:6" x14ac:dyDescent="0.35">
      <c r="A11" t="s">
        <v>360</v>
      </c>
      <c r="B11" s="3">
        <v>46056</v>
      </c>
    </row>
    <row r="14" spans="1:6" x14ac:dyDescent="0.35">
      <c r="A14" t="s">
        <v>30</v>
      </c>
      <c r="B14" s="1" t="s">
        <v>149</v>
      </c>
      <c r="C14" t="s">
        <v>150</v>
      </c>
      <c r="D14">
        <v>4</v>
      </c>
      <c r="E14">
        <v>4000</v>
      </c>
      <c r="F14">
        <f>E14*D14</f>
        <v>16000</v>
      </c>
    </row>
    <row r="15" spans="1:6" x14ac:dyDescent="0.35">
      <c r="B15" s="3">
        <v>46296</v>
      </c>
    </row>
    <row r="16" spans="1:6" x14ac:dyDescent="0.35">
      <c r="B16" s="3">
        <v>46297</v>
      </c>
    </row>
    <row r="17" spans="2:6" x14ac:dyDescent="0.35">
      <c r="B17" s="3">
        <v>46298</v>
      </c>
    </row>
    <row r="18" spans="2:6" x14ac:dyDescent="0.35">
      <c r="B18" s="3">
        <v>46299</v>
      </c>
    </row>
    <row r="19" spans="2:6" x14ac:dyDescent="0.35">
      <c r="B19" s="3">
        <v>46300</v>
      </c>
      <c r="E19" s="12" t="s">
        <v>87</v>
      </c>
      <c r="F19" s="12">
        <f>SUM(F8:F18)</f>
        <v>28000</v>
      </c>
    </row>
    <row r="20" spans="2:6" x14ac:dyDescent="0.35">
      <c r="E20" t="s">
        <v>17</v>
      </c>
      <c r="F20">
        <v>28000</v>
      </c>
    </row>
    <row r="21" spans="2:6" x14ac:dyDescent="0.35">
      <c r="E21" s="12" t="s">
        <v>19</v>
      </c>
      <c r="F21" s="12">
        <f>F19-F20</f>
        <v>0</v>
      </c>
    </row>
    <row r="23" spans="2:6" x14ac:dyDescent="0.35">
      <c r="B23" s="6" t="s">
        <v>75</v>
      </c>
      <c r="C23" s="12" t="s">
        <v>6</v>
      </c>
    </row>
    <row r="24" spans="2:6" x14ac:dyDescent="0.35">
      <c r="B24" s="3">
        <v>45700</v>
      </c>
      <c r="C24">
        <v>4000</v>
      </c>
    </row>
    <row r="25" spans="2:6" x14ac:dyDescent="0.35">
      <c r="B25" s="1" t="s">
        <v>362</v>
      </c>
      <c r="C25">
        <v>4000</v>
      </c>
    </row>
    <row r="26" spans="2:6" x14ac:dyDescent="0.35">
      <c r="B26" s="1" t="s">
        <v>363</v>
      </c>
      <c r="C26">
        <v>4000</v>
      </c>
    </row>
    <row r="27" spans="2:6" x14ac:dyDescent="0.35">
      <c r="B27" s="1" t="s">
        <v>259</v>
      </c>
      <c r="C27">
        <v>4000</v>
      </c>
    </row>
    <row r="28" spans="2:6" x14ac:dyDescent="0.35">
      <c r="B28" s="1" t="s">
        <v>409</v>
      </c>
      <c r="C28">
        <v>12000</v>
      </c>
    </row>
    <row r="29" spans="2:6" x14ac:dyDescent="0.35">
      <c r="B29" s="6" t="s">
        <v>87</v>
      </c>
      <c r="C29" s="12">
        <f>SUM(C24:C28)</f>
        <v>28000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3CA6-DFB9-4E58-9D04-0D3C3ABE97AF}">
  <dimension ref="A1:F40"/>
  <sheetViews>
    <sheetView workbookViewId="0">
      <selection activeCell="G17" sqref="G17"/>
    </sheetView>
  </sheetViews>
  <sheetFormatPr defaultRowHeight="14.5" x14ac:dyDescent="0.35"/>
  <cols>
    <col min="1" max="1" width="9.453125" bestFit="1" customWidth="1"/>
    <col min="2" max="2" width="19.54296875" style="1" customWidth="1"/>
    <col min="3" max="3" width="12.26953125" customWidth="1"/>
    <col min="5" max="5" width="10.9062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364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365</v>
      </c>
      <c r="C7" s="1" t="s">
        <v>80</v>
      </c>
      <c r="D7" s="1" t="s">
        <v>5</v>
      </c>
      <c r="E7" s="1" t="s">
        <v>123</v>
      </c>
      <c r="F7" s="1" t="s">
        <v>7</v>
      </c>
    </row>
    <row r="8" spans="1:6" x14ac:dyDescent="0.35">
      <c r="B8" s="1" t="s">
        <v>366</v>
      </c>
      <c r="D8">
        <v>3</v>
      </c>
      <c r="E8">
        <v>4000</v>
      </c>
      <c r="F8">
        <f>E8*D8</f>
        <v>12000</v>
      </c>
    </row>
    <row r="9" spans="1:6" x14ac:dyDescent="0.35">
      <c r="B9" s="1" t="s">
        <v>367</v>
      </c>
    </row>
    <row r="10" spans="1:6" x14ac:dyDescent="0.35">
      <c r="A10" s="13" t="s">
        <v>159</v>
      </c>
      <c r="B10" s="1" t="s">
        <v>368</v>
      </c>
    </row>
    <row r="11" spans="1:6" x14ac:dyDescent="0.35">
      <c r="A11" t="s">
        <v>360</v>
      </c>
      <c r="B11" s="1" t="s">
        <v>369</v>
      </c>
    </row>
    <row r="14" spans="1:6" x14ac:dyDescent="0.35">
      <c r="A14" t="s">
        <v>30</v>
      </c>
      <c r="B14" s="1" t="s">
        <v>370</v>
      </c>
      <c r="C14" t="s">
        <v>371</v>
      </c>
      <c r="D14">
        <v>2</v>
      </c>
      <c r="E14">
        <v>4000</v>
      </c>
      <c r="F14">
        <f>E14*D14</f>
        <v>8000</v>
      </c>
    </row>
    <row r="15" spans="1:6" x14ac:dyDescent="0.35">
      <c r="B15" s="3">
        <v>46174</v>
      </c>
    </row>
    <row r="16" spans="1:6" x14ac:dyDescent="0.35">
      <c r="A16" s="13" t="s">
        <v>40</v>
      </c>
      <c r="B16" s="3">
        <v>46175</v>
      </c>
    </row>
    <row r="17" spans="1:6" x14ac:dyDescent="0.35">
      <c r="A17" t="s">
        <v>372</v>
      </c>
      <c r="B17" s="3">
        <v>46176</v>
      </c>
    </row>
    <row r="21" spans="1:6" x14ac:dyDescent="0.35">
      <c r="E21" s="12" t="s">
        <v>87</v>
      </c>
      <c r="F21" s="12">
        <f>SUM(F8:F20)</f>
        <v>20000</v>
      </c>
    </row>
    <row r="22" spans="1:6" x14ac:dyDescent="0.35">
      <c r="E22" t="s">
        <v>373</v>
      </c>
      <c r="F22">
        <v>2300</v>
      </c>
    </row>
    <row r="23" spans="1:6" x14ac:dyDescent="0.35">
      <c r="E23" t="s">
        <v>376</v>
      </c>
      <c r="F23">
        <v>2700</v>
      </c>
    </row>
    <row r="25" spans="1:6" x14ac:dyDescent="0.35">
      <c r="E25" t="s">
        <v>387</v>
      </c>
      <c r="F25">
        <f>F23+F22+F21</f>
        <v>25000</v>
      </c>
    </row>
    <row r="29" spans="1:6" x14ac:dyDescent="0.35">
      <c r="B29" s="1" t="s">
        <v>377</v>
      </c>
      <c r="C29" t="s">
        <v>376</v>
      </c>
      <c r="D29" t="s">
        <v>374</v>
      </c>
      <c r="E29" t="s">
        <v>375</v>
      </c>
    </row>
    <row r="30" spans="1:6" x14ac:dyDescent="0.35">
      <c r="B30" s="3">
        <v>45971</v>
      </c>
      <c r="C30">
        <v>23</v>
      </c>
      <c r="D30">
        <v>100</v>
      </c>
      <c r="E30">
        <v>2300</v>
      </c>
    </row>
    <row r="31" spans="1:6" x14ac:dyDescent="0.35">
      <c r="B31" s="1" t="s">
        <v>378</v>
      </c>
    </row>
    <row r="32" spans="1:6" x14ac:dyDescent="0.35">
      <c r="B32" s="1" t="s">
        <v>372</v>
      </c>
    </row>
    <row r="35" spans="1:4" x14ac:dyDescent="0.35">
      <c r="A35" t="s">
        <v>379</v>
      </c>
      <c r="B35" s="1" t="s">
        <v>380</v>
      </c>
      <c r="C35" t="s">
        <v>381</v>
      </c>
      <c r="D35" t="s">
        <v>6</v>
      </c>
    </row>
    <row r="36" spans="1:4" x14ac:dyDescent="0.35">
      <c r="A36" t="s">
        <v>384</v>
      </c>
      <c r="B36" s="1" t="s">
        <v>382</v>
      </c>
      <c r="C36" t="s">
        <v>383</v>
      </c>
      <c r="D36">
        <v>300</v>
      </c>
    </row>
    <row r="37" spans="1:4" x14ac:dyDescent="0.35">
      <c r="A37" t="s">
        <v>327</v>
      </c>
      <c r="B37" s="1" t="s">
        <v>382</v>
      </c>
      <c r="C37" t="s">
        <v>383</v>
      </c>
      <c r="D37">
        <v>300</v>
      </c>
    </row>
    <row r="38" spans="1:4" x14ac:dyDescent="0.35">
      <c r="A38" s="2">
        <v>45911</v>
      </c>
      <c r="B38" s="1" t="s">
        <v>385</v>
      </c>
      <c r="C38" t="s">
        <v>386</v>
      </c>
      <c r="D38">
        <v>600</v>
      </c>
    </row>
    <row r="40" spans="1:4" x14ac:dyDescent="0.35">
      <c r="D40">
        <f>SUM(D36:D39)</f>
        <v>1200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BCDE-2205-4B36-B7C9-1B7687393EE2}">
  <dimension ref="A1:F40"/>
  <sheetViews>
    <sheetView workbookViewId="0">
      <selection sqref="A1:F42"/>
    </sheetView>
  </sheetViews>
  <sheetFormatPr defaultRowHeight="14.5" x14ac:dyDescent="0.35"/>
  <cols>
    <col min="1" max="1" width="10.453125" bestFit="1" customWidth="1"/>
    <col min="2" max="2" width="24.1796875" style="1" customWidth="1"/>
    <col min="4" max="4" width="8.7265625" style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418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388</v>
      </c>
      <c r="C7" s="1" t="s">
        <v>389</v>
      </c>
      <c r="D7" s="1" t="s">
        <v>5</v>
      </c>
      <c r="E7" s="1" t="s">
        <v>123</v>
      </c>
      <c r="F7" s="1" t="s">
        <v>7</v>
      </c>
    </row>
    <row r="8" spans="1:6" x14ac:dyDescent="0.35">
      <c r="B8" s="3">
        <v>46023</v>
      </c>
      <c r="D8" s="1">
        <v>5</v>
      </c>
      <c r="E8">
        <v>4000</v>
      </c>
      <c r="F8">
        <f>E8*D8</f>
        <v>20000</v>
      </c>
    </row>
    <row r="9" spans="1:6" x14ac:dyDescent="0.35">
      <c r="B9" s="3">
        <v>46024</v>
      </c>
    </row>
    <row r="10" spans="1:6" x14ac:dyDescent="0.35">
      <c r="B10" s="3">
        <v>46025</v>
      </c>
    </row>
    <row r="11" spans="1:6" x14ac:dyDescent="0.35">
      <c r="A11" t="s">
        <v>566</v>
      </c>
      <c r="B11" s="3">
        <v>46026</v>
      </c>
    </row>
    <row r="12" spans="1:6" x14ac:dyDescent="0.35">
      <c r="A12" t="s">
        <v>567</v>
      </c>
      <c r="B12" s="3">
        <v>46027</v>
      </c>
    </row>
    <row r="13" spans="1:6" x14ac:dyDescent="0.35">
      <c r="B13" s="3">
        <v>46028</v>
      </c>
    </row>
    <row r="14" spans="1:6" x14ac:dyDescent="0.35">
      <c r="B14" s="3">
        <v>46029</v>
      </c>
    </row>
    <row r="16" spans="1:6" x14ac:dyDescent="0.35">
      <c r="A16" t="s">
        <v>30</v>
      </c>
      <c r="B16" s="1" t="s">
        <v>390</v>
      </c>
      <c r="C16" t="s">
        <v>391</v>
      </c>
    </row>
    <row r="17" spans="1:6" x14ac:dyDescent="0.35">
      <c r="B17" s="3">
        <v>46327</v>
      </c>
      <c r="D17" s="1">
        <v>4</v>
      </c>
      <c r="E17">
        <v>4000</v>
      </c>
      <c r="F17">
        <f>E17*D17</f>
        <v>16000</v>
      </c>
    </row>
    <row r="18" spans="1:6" x14ac:dyDescent="0.35">
      <c r="B18" s="3">
        <v>46328</v>
      </c>
    </row>
    <row r="19" spans="1:6" x14ac:dyDescent="0.35">
      <c r="A19" s="13" t="s">
        <v>40</v>
      </c>
      <c r="B19" s="3">
        <v>46329</v>
      </c>
      <c r="E19" s="1" t="s">
        <v>569</v>
      </c>
      <c r="F19">
        <v>3500</v>
      </c>
    </row>
    <row r="20" spans="1:6" x14ac:dyDescent="0.35">
      <c r="A20" s="2">
        <v>46361</v>
      </c>
      <c r="B20" s="3">
        <v>46330</v>
      </c>
    </row>
    <row r="21" spans="1:6" x14ac:dyDescent="0.35">
      <c r="A21" t="s">
        <v>566</v>
      </c>
      <c r="B21" s="3">
        <v>46331</v>
      </c>
    </row>
    <row r="22" spans="1:6" x14ac:dyDescent="0.35">
      <c r="A22" t="s">
        <v>567</v>
      </c>
      <c r="B22" s="3"/>
    </row>
    <row r="24" spans="1:6" x14ac:dyDescent="0.35">
      <c r="A24" t="s">
        <v>35</v>
      </c>
      <c r="B24" s="1" t="s">
        <v>511</v>
      </c>
      <c r="C24" t="s">
        <v>512</v>
      </c>
      <c r="D24" s="1">
        <v>2</v>
      </c>
      <c r="E24">
        <v>4000</v>
      </c>
      <c r="F24">
        <f>E24*D24</f>
        <v>8000</v>
      </c>
    </row>
    <row r="25" spans="1:6" x14ac:dyDescent="0.35">
      <c r="B25" s="1" t="s">
        <v>409</v>
      </c>
    </row>
    <row r="26" spans="1:6" x14ac:dyDescent="0.35">
      <c r="B26" s="1" t="s">
        <v>496</v>
      </c>
    </row>
    <row r="27" spans="1:6" x14ac:dyDescent="0.35">
      <c r="A27" t="s">
        <v>566</v>
      </c>
      <c r="B27" s="1" t="s">
        <v>513</v>
      </c>
    </row>
    <row r="28" spans="1:6" x14ac:dyDescent="0.35">
      <c r="A28" t="s">
        <v>568</v>
      </c>
    </row>
    <row r="30" spans="1:6" x14ac:dyDescent="0.35">
      <c r="E30" s="12" t="s">
        <v>87</v>
      </c>
      <c r="F30" s="12">
        <f>SUM(F8:F29)</f>
        <v>47500</v>
      </c>
    </row>
    <row r="31" spans="1:6" ht="15.5" customHeight="1" x14ac:dyDescent="0.35">
      <c r="E31" t="s">
        <v>107</v>
      </c>
      <c r="F31">
        <v>2700</v>
      </c>
    </row>
    <row r="32" spans="1:6" ht="15.5" customHeight="1" x14ac:dyDescent="0.35">
      <c r="E32" t="s">
        <v>17</v>
      </c>
      <c r="F32">
        <v>24000</v>
      </c>
    </row>
    <row r="33" spans="2:6" x14ac:dyDescent="0.35">
      <c r="E33" s="12" t="s">
        <v>456</v>
      </c>
      <c r="F33" s="12">
        <f>F30+F31-F32</f>
        <v>26200</v>
      </c>
    </row>
    <row r="37" spans="2:6" x14ac:dyDescent="0.35">
      <c r="B37" s="6" t="s">
        <v>75</v>
      </c>
      <c r="C37" s="12" t="s">
        <v>6</v>
      </c>
    </row>
    <row r="38" spans="2:6" x14ac:dyDescent="0.35">
      <c r="B38" s="6" t="s">
        <v>581</v>
      </c>
      <c r="C38" s="12">
        <v>2000</v>
      </c>
    </row>
    <row r="39" spans="2:6" x14ac:dyDescent="0.35">
      <c r="B39" s="6" t="s">
        <v>580</v>
      </c>
      <c r="C39" s="12">
        <v>700</v>
      </c>
    </row>
    <row r="40" spans="2:6" x14ac:dyDescent="0.35">
      <c r="B40" s="6" t="s">
        <v>7</v>
      </c>
      <c r="C40" s="12">
        <f>SUM(C38:C39)</f>
        <v>2700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4F17-C955-422A-A306-F90F93D1BA3F}">
  <dimension ref="A1:K84"/>
  <sheetViews>
    <sheetView topLeftCell="A70" workbookViewId="0">
      <selection activeCell="F84" sqref="F84"/>
    </sheetView>
  </sheetViews>
  <sheetFormatPr defaultRowHeight="14.5" x14ac:dyDescent="0.35"/>
  <cols>
    <col min="2" max="2" width="17.36328125" style="1" customWidth="1"/>
    <col min="3" max="3" width="13" style="1" customWidth="1"/>
    <col min="4" max="4" width="8.7265625" style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457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432</v>
      </c>
      <c r="C7" s="1" t="s">
        <v>433</v>
      </c>
      <c r="D7" s="1" t="s">
        <v>5</v>
      </c>
      <c r="E7" s="1" t="s">
        <v>123</v>
      </c>
      <c r="F7" s="1" t="s">
        <v>7</v>
      </c>
    </row>
    <row r="8" spans="1:6" x14ac:dyDescent="0.35">
      <c r="B8" s="1" t="s">
        <v>52</v>
      </c>
      <c r="D8" s="1">
        <v>6</v>
      </c>
      <c r="E8">
        <v>4000</v>
      </c>
      <c r="F8">
        <f>E8*D8</f>
        <v>24000</v>
      </c>
    </row>
    <row r="9" spans="1:6" x14ac:dyDescent="0.35">
      <c r="B9" s="1" t="s">
        <v>98</v>
      </c>
    </row>
    <row r="10" spans="1:6" x14ac:dyDescent="0.35">
      <c r="B10" s="1" t="s">
        <v>313</v>
      </c>
    </row>
    <row r="11" spans="1:6" x14ac:dyDescent="0.35">
      <c r="B11" s="1" t="s">
        <v>314</v>
      </c>
    </row>
    <row r="12" spans="1:6" x14ac:dyDescent="0.35">
      <c r="B12" s="1" t="s">
        <v>434</v>
      </c>
    </row>
    <row r="13" spans="1:6" x14ac:dyDescent="0.35">
      <c r="B13" s="1" t="s">
        <v>475</v>
      </c>
    </row>
    <row r="14" spans="1:6" x14ac:dyDescent="0.35">
      <c r="B14" s="1" t="s">
        <v>574</v>
      </c>
    </row>
    <row r="16" spans="1:6" x14ac:dyDescent="0.35">
      <c r="A16" t="s">
        <v>30</v>
      </c>
      <c r="B16" s="1" t="s">
        <v>175</v>
      </c>
      <c r="C16" s="1" t="s">
        <v>176</v>
      </c>
      <c r="D16" s="1">
        <v>5</v>
      </c>
      <c r="E16">
        <v>4000</v>
      </c>
      <c r="F16">
        <f>E16*D16</f>
        <v>20000</v>
      </c>
    </row>
    <row r="17" spans="1:11" x14ac:dyDescent="0.35">
      <c r="B17" s="3">
        <v>46357</v>
      </c>
      <c r="K17" t="s">
        <v>573</v>
      </c>
    </row>
    <row r="18" spans="1:11" x14ac:dyDescent="0.35">
      <c r="B18" s="3">
        <v>46358</v>
      </c>
    </row>
    <row r="19" spans="1:11" x14ac:dyDescent="0.35">
      <c r="B19" s="3">
        <v>46359</v>
      </c>
    </row>
    <row r="20" spans="1:11" x14ac:dyDescent="0.35">
      <c r="B20" s="3">
        <v>46360</v>
      </c>
    </row>
    <row r="21" spans="1:11" x14ac:dyDescent="0.35">
      <c r="B21" s="3">
        <v>46361</v>
      </c>
    </row>
    <row r="22" spans="1:11" x14ac:dyDescent="0.35">
      <c r="B22" s="3">
        <v>46362</v>
      </c>
    </row>
    <row r="24" spans="1:11" x14ac:dyDescent="0.35">
      <c r="A24" t="s">
        <v>35</v>
      </c>
      <c r="B24" s="1" t="s">
        <v>267</v>
      </c>
      <c r="C24" s="1" t="s">
        <v>436</v>
      </c>
      <c r="D24" s="1">
        <v>5</v>
      </c>
      <c r="E24">
        <v>4000</v>
      </c>
      <c r="F24">
        <f>E24*D24</f>
        <v>20000</v>
      </c>
    </row>
    <row r="25" spans="1:11" x14ac:dyDescent="0.35">
      <c r="B25" s="1" t="s">
        <v>96</v>
      </c>
    </row>
    <row r="26" spans="1:11" x14ac:dyDescent="0.35">
      <c r="B26" s="1" t="s">
        <v>245</v>
      </c>
    </row>
    <row r="27" spans="1:11" x14ac:dyDescent="0.35">
      <c r="B27" s="1" t="s">
        <v>352</v>
      </c>
    </row>
    <row r="28" spans="1:11" x14ac:dyDescent="0.35">
      <c r="B28" s="1" t="s">
        <v>393</v>
      </c>
    </row>
    <row r="29" spans="1:11" x14ac:dyDescent="0.35">
      <c r="B29" s="1" t="s">
        <v>508</v>
      </c>
    </row>
    <row r="30" spans="1:11" x14ac:dyDescent="0.35">
      <c r="B30" s="1" t="s">
        <v>244</v>
      </c>
    </row>
    <row r="32" spans="1:11" x14ac:dyDescent="0.35">
      <c r="A32" t="s">
        <v>48</v>
      </c>
      <c r="B32" s="1" t="s">
        <v>437</v>
      </c>
      <c r="C32" s="1" t="s">
        <v>438</v>
      </c>
      <c r="D32" s="1">
        <v>4</v>
      </c>
      <c r="E32">
        <v>4000</v>
      </c>
      <c r="F32">
        <f>E32*D32</f>
        <v>16000</v>
      </c>
    </row>
    <row r="33" spans="1:6" x14ac:dyDescent="0.35">
      <c r="B33" s="1" t="s">
        <v>253</v>
      </c>
    </row>
    <row r="34" spans="1:6" x14ac:dyDescent="0.35">
      <c r="B34" s="1" t="s">
        <v>254</v>
      </c>
    </row>
    <row r="35" spans="1:6" x14ac:dyDescent="0.35">
      <c r="B35" s="1" t="s">
        <v>410</v>
      </c>
    </row>
    <row r="36" spans="1:6" x14ac:dyDescent="0.35">
      <c r="B36" s="1" t="s">
        <v>495</v>
      </c>
    </row>
    <row r="37" spans="1:6" x14ac:dyDescent="0.35">
      <c r="B37" s="1" t="s">
        <v>577</v>
      </c>
    </row>
    <row r="39" spans="1:6" x14ac:dyDescent="0.35">
      <c r="A39" t="s">
        <v>51</v>
      </c>
      <c r="B39" s="1" t="s">
        <v>439</v>
      </c>
      <c r="C39" s="1" t="s">
        <v>440</v>
      </c>
      <c r="D39" s="1">
        <v>3</v>
      </c>
      <c r="E39">
        <v>4000</v>
      </c>
      <c r="F39">
        <f>E39*D39</f>
        <v>12000</v>
      </c>
    </row>
    <row r="40" spans="1:6" x14ac:dyDescent="0.35">
      <c r="B40" s="3">
        <v>46145</v>
      </c>
    </row>
    <row r="41" spans="1:6" x14ac:dyDescent="0.35">
      <c r="B41" s="3">
        <v>46146</v>
      </c>
    </row>
    <row r="42" spans="1:6" x14ac:dyDescent="0.35">
      <c r="B42" s="3">
        <v>46147</v>
      </c>
    </row>
    <row r="43" spans="1:6" x14ac:dyDescent="0.35">
      <c r="B43" s="3">
        <v>46148</v>
      </c>
    </row>
    <row r="45" spans="1:6" x14ac:dyDescent="0.35">
      <c r="A45" t="s">
        <v>132</v>
      </c>
      <c r="B45" s="1" t="s">
        <v>441</v>
      </c>
      <c r="C45" s="1" t="s">
        <v>442</v>
      </c>
      <c r="D45" s="1">
        <v>3</v>
      </c>
      <c r="E45">
        <v>4000</v>
      </c>
      <c r="F45">
        <f>E45*D45</f>
        <v>12000</v>
      </c>
    </row>
    <row r="46" spans="1:6" x14ac:dyDescent="0.35">
      <c r="B46" s="3">
        <v>46237</v>
      </c>
    </row>
    <row r="47" spans="1:6" x14ac:dyDescent="0.35">
      <c r="B47" s="3">
        <v>46238</v>
      </c>
    </row>
    <row r="48" spans="1:6" x14ac:dyDescent="0.35">
      <c r="B48" s="3">
        <v>46239</v>
      </c>
    </row>
    <row r="49" spans="1:6" x14ac:dyDescent="0.35">
      <c r="B49" s="3">
        <v>45510</v>
      </c>
    </row>
    <row r="51" spans="1:6" x14ac:dyDescent="0.35">
      <c r="A51" t="s">
        <v>178</v>
      </c>
      <c r="B51" s="1" t="s">
        <v>443</v>
      </c>
      <c r="C51" s="1" t="s">
        <v>444</v>
      </c>
      <c r="D51" s="1">
        <v>3</v>
      </c>
      <c r="E51">
        <v>4000</v>
      </c>
      <c r="F51">
        <f>E51*D51</f>
        <v>12000</v>
      </c>
    </row>
    <row r="52" spans="1:6" x14ac:dyDescent="0.35">
      <c r="B52" s="1" t="s">
        <v>353</v>
      </c>
    </row>
    <row r="53" spans="1:6" x14ac:dyDescent="0.35">
      <c r="B53" s="1" t="s">
        <v>399</v>
      </c>
    </row>
    <row r="54" spans="1:6" x14ac:dyDescent="0.35">
      <c r="B54" s="1" t="s">
        <v>509</v>
      </c>
    </row>
    <row r="55" spans="1:6" x14ac:dyDescent="0.35">
      <c r="B55" s="1" t="s">
        <v>576</v>
      </c>
    </row>
    <row r="57" spans="1:6" x14ac:dyDescent="0.35">
      <c r="A57" t="s">
        <v>134</v>
      </c>
      <c r="B57" s="1" t="s">
        <v>332</v>
      </c>
      <c r="C57" s="1" t="s">
        <v>445</v>
      </c>
      <c r="D57" s="1">
        <v>3</v>
      </c>
      <c r="E57">
        <v>4000</v>
      </c>
      <c r="F57">
        <f>E57*D57</f>
        <v>12000</v>
      </c>
    </row>
    <row r="58" spans="1:6" x14ac:dyDescent="0.35">
      <c r="B58" s="1" t="s">
        <v>351</v>
      </c>
    </row>
    <row r="59" spans="1:6" x14ac:dyDescent="0.35">
      <c r="B59" s="1" t="s">
        <v>394</v>
      </c>
    </row>
    <row r="60" spans="1:6" x14ac:dyDescent="0.35">
      <c r="B60" s="1" t="s">
        <v>507</v>
      </c>
    </row>
    <row r="61" spans="1:6" x14ac:dyDescent="0.35">
      <c r="B61" s="1" t="s">
        <v>575</v>
      </c>
    </row>
    <row r="63" spans="1:6" x14ac:dyDescent="0.35">
      <c r="A63" t="s">
        <v>468</v>
      </c>
      <c r="B63" s="1" t="s">
        <v>483</v>
      </c>
      <c r="C63" s="1" t="s">
        <v>484</v>
      </c>
      <c r="D63" s="1">
        <v>2</v>
      </c>
      <c r="E63">
        <v>4000</v>
      </c>
      <c r="F63">
        <f>E63*D63</f>
        <v>8000</v>
      </c>
    </row>
    <row r="64" spans="1:6" x14ac:dyDescent="0.35">
      <c r="B64" s="3">
        <v>46116</v>
      </c>
    </row>
    <row r="65" spans="2:6" x14ac:dyDescent="0.35">
      <c r="B65" s="3">
        <v>46117</v>
      </c>
    </row>
    <row r="66" spans="2:6" x14ac:dyDescent="0.35">
      <c r="B66" s="3">
        <v>46118</v>
      </c>
    </row>
    <row r="69" spans="2:6" x14ac:dyDescent="0.35">
      <c r="E69" s="14" t="s">
        <v>87</v>
      </c>
      <c r="F69" s="14">
        <f>SUM(F8:F68)</f>
        <v>136000</v>
      </c>
    </row>
    <row r="70" spans="2:6" x14ac:dyDescent="0.35">
      <c r="E70" t="s">
        <v>17</v>
      </c>
      <c r="F70">
        <v>88000</v>
      </c>
    </row>
    <row r="71" spans="2:6" x14ac:dyDescent="0.35">
      <c r="E71" s="12" t="s">
        <v>19</v>
      </c>
      <c r="F71" s="12">
        <f>F69-F70</f>
        <v>48000</v>
      </c>
    </row>
    <row r="72" spans="2:6" x14ac:dyDescent="0.35">
      <c r="B72" s="6" t="s">
        <v>75</v>
      </c>
      <c r="C72" s="6" t="s">
        <v>6</v>
      </c>
    </row>
    <row r="73" spans="2:6" x14ac:dyDescent="0.35">
      <c r="B73" s="1" t="s">
        <v>279</v>
      </c>
      <c r="C73" s="1">
        <v>4000</v>
      </c>
    </row>
    <row r="74" spans="2:6" x14ac:dyDescent="0.35">
      <c r="B74" s="1" t="s">
        <v>193</v>
      </c>
      <c r="C74" s="1">
        <v>12000</v>
      </c>
    </row>
    <row r="75" spans="2:6" x14ac:dyDescent="0.35">
      <c r="B75" s="3">
        <v>46357</v>
      </c>
      <c r="C75" s="1">
        <v>8000</v>
      </c>
    </row>
    <row r="76" spans="2:6" x14ac:dyDescent="0.35">
      <c r="B76" s="1" t="s">
        <v>253</v>
      </c>
      <c r="C76" s="1">
        <v>4000</v>
      </c>
    </row>
    <row r="77" spans="2:6" x14ac:dyDescent="0.35">
      <c r="B77" s="3">
        <v>46145</v>
      </c>
      <c r="C77" s="1">
        <v>4000</v>
      </c>
    </row>
    <row r="78" spans="2:6" x14ac:dyDescent="0.35">
      <c r="B78" s="3">
        <v>46237</v>
      </c>
      <c r="C78" s="1">
        <v>4000</v>
      </c>
    </row>
    <row r="79" spans="2:6" x14ac:dyDescent="0.35">
      <c r="B79" s="1" t="s">
        <v>353</v>
      </c>
      <c r="C79" s="1">
        <v>4000</v>
      </c>
    </row>
    <row r="80" spans="2:6" x14ac:dyDescent="0.35">
      <c r="B80" s="1" t="s">
        <v>351</v>
      </c>
      <c r="C80" s="1">
        <v>4000</v>
      </c>
    </row>
    <row r="81" spans="2:3" x14ac:dyDescent="0.35">
      <c r="B81" s="3">
        <v>46116</v>
      </c>
      <c r="C81" s="1">
        <v>4000</v>
      </c>
    </row>
    <row r="82" spans="2:3" x14ac:dyDescent="0.35">
      <c r="B82" s="3" t="s">
        <v>409</v>
      </c>
      <c r="C82" s="1">
        <v>20000</v>
      </c>
    </row>
    <row r="83" spans="2:3" x14ac:dyDescent="0.35">
      <c r="B83" s="3" t="s">
        <v>475</v>
      </c>
      <c r="C83" s="1">
        <v>20000</v>
      </c>
    </row>
    <row r="84" spans="2:3" x14ac:dyDescent="0.35">
      <c r="B84" s="6" t="s">
        <v>87</v>
      </c>
      <c r="C84" s="6">
        <f>SUM(C73:C83)</f>
        <v>88000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15F9-8070-4C6D-9AC3-648F900649E9}">
  <dimension ref="A1:L40"/>
  <sheetViews>
    <sheetView topLeftCell="A20" workbookViewId="0">
      <selection sqref="A1:G37"/>
    </sheetView>
  </sheetViews>
  <sheetFormatPr defaultRowHeight="14.5" x14ac:dyDescent="0.35"/>
  <cols>
    <col min="1" max="1" width="9.7265625" customWidth="1"/>
    <col min="2" max="2" width="17.26953125" style="1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458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459</v>
      </c>
      <c r="C7" s="1" t="s">
        <v>461</v>
      </c>
      <c r="D7" s="1" t="s">
        <v>5</v>
      </c>
      <c r="E7" s="1" t="s">
        <v>123</v>
      </c>
      <c r="F7" s="1" t="s">
        <v>7</v>
      </c>
    </row>
    <row r="8" spans="1:6" x14ac:dyDescent="0.35">
      <c r="B8" s="1" t="s">
        <v>236</v>
      </c>
      <c r="D8">
        <v>7</v>
      </c>
      <c r="E8">
        <v>4000</v>
      </c>
      <c r="F8">
        <f>E8*D8</f>
        <v>28000</v>
      </c>
    </row>
    <row r="9" spans="1:6" x14ac:dyDescent="0.35">
      <c r="B9" s="1" t="s">
        <v>237</v>
      </c>
    </row>
    <row r="10" spans="1:6" x14ac:dyDescent="0.35">
      <c r="B10" s="1" t="s">
        <v>148</v>
      </c>
    </row>
    <row r="11" spans="1:6" x14ac:dyDescent="0.35">
      <c r="A11" s="13" t="s">
        <v>40</v>
      </c>
      <c r="B11" s="1" t="s">
        <v>189</v>
      </c>
    </row>
    <row r="12" spans="1:6" x14ac:dyDescent="0.35">
      <c r="A12" t="s">
        <v>244</v>
      </c>
      <c r="B12" s="1" t="s">
        <v>238</v>
      </c>
    </row>
    <row r="13" spans="1:6" x14ac:dyDescent="0.35">
      <c r="B13" s="1" t="s">
        <v>396</v>
      </c>
    </row>
    <row r="14" spans="1:6" x14ac:dyDescent="0.35">
      <c r="B14" s="1" t="s">
        <v>474</v>
      </c>
    </row>
    <row r="15" spans="1:6" x14ac:dyDescent="0.35">
      <c r="B15" s="1" t="s">
        <v>517</v>
      </c>
    </row>
    <row r="16" spans="1:6" x14ac:dyDescent="0.35">
      <c r="A16" t="s">
        <v>30</v>
      </c>
      <c r="B16" s="1" t="s">
        <v>460</v>
      </c>
      <c r="C16" t="s">
        <v>462</v>
      </c>
    </row>
    <row r="17" spans="1:12" x14ac:dyDescent="0.35">
      <c r="B17" s="1" t="s">
        <v>463</v>
      </c>
      <c r="D17">
        <v>6</v>
      </c>
      <c r="E17">
        <v>4000</v>
      </c>
      <c r="F17">
        <f>E17*D17</f>
        <v>24000</v>
      </c>
    </row>
    <row r="18" spans="1:12" x14ac:dyDescent="0.35">
      <c r="B18" s="1" t="s">
        <v>151</v>
      </c>
    </row>
    <row r="19" spans="1:12" x14ac:dyDescent="0.35">
      <c r="A19" s="13" t="s">
        <v>40</v>
      </c>
      <c r="B19" s="1" t="s">
        <v>152</v>
      </c>
    </row>
    <row r="20" spans="1:12" x14ac:dyDescent="0.35">
      <c r="A20" t="s">
        <v>593</v>
      </c>
      <c r="B20" s="1" t="s">
        <v>415</v>
      </c>
    </row>
    <row r="21" spans="1:12" x14ac:dyDescent="0.35">
      <c r="B21" s="1" t="s">
        <v>416</v>
      </c>
      <c r="E21" t="s">
        <v>157</v>
      </c>
      <c r="F21">
        <v>500</v>
      </c>
    </row>
    <row r="22" spans="1:12" x14ac:dyDescent="0.35">
      <c r="B22" s="1" t="s">
        <v>417</v>
      </c>
    </row>
    <row r="23" spans="1:12" x14ac:dyDescent="0.35">
      <c r="B23" s="1" t="s">
        <v>485</v>
      </c>
    </row>
    <row r="25" spans="1:12" x14ac:dyDescent="0.35">
      <c r="A25" t="s">
        <v>35</v>
      </c>
      <c r="B25" s="1" t="s">
        <v>464</v>
      </c>
      <c r="C25" t="s">
        <v>465</v>
      </c>
      <c r="D25">
        <v>4</v>
      </c>
      <c r="E25">
        <v>4000</v>
      </c>
      <c r="F25">
        <f>E25*D25</f>
        <v>16000</v>
      </c>
    </row>
    <row r="26" spans="1:12" x14ac:dyDescent="0.35">
      <c r="B26" s="1" t="s">
        <v>191</v>
      </c>
    </row>
    <row r="27" spans="1:12" x14ac:dyDescent="0.35">
      <c r="A27" s="13" t="s">
        <v>40</v>
      </c>
      <c r="B27" s="1" t="s">
        <v>192</v>
      </c>
    </row>
    <row r="28" spans="1:12" x14ac:dyDescent="0.35">
      <c r="A28" t="s">
        <v>598</v>
      </c>
      <c r="B28" s="1" t="s">
        <v>316</v>
      </c>
      <c r="E28" t="s">
        <v>157</v>
      </c>
      <c r="F28">
        <v>500</v>
      </c>
      <c r="L28" t="s">
        <v>195</v>
      </c>
    </row>
    <row r="29" spans="1:12" x14ac:dyDescent="0.35">
      <c r="B29" s="1" t="s">
        <v>395</v>
      </c>
    </row>
    <row r="30" spans="1:12" x14ac:dyDescent="0.35">
      <c r="B30" s="1" t="s">
        <v>486</v>
      </c>
    </row>
    <row r="33" spans="2:6" x14ac:dyDescent="0.35">
      <c r="E33" s="12" t="s">
        <v>7</v>
      </c>
      <c r="F33" s="12">
        <f>SUM(F8:F32)</f>
        <v>69000</v>
      </c>
    </row>
    <row r="34" spans="2:6" x14ac:dyDescent="0.35">
      <c r="E34" t="s">
        <v>17</v>
      </c>
      <c r="F34">
        <v>10000</v>
      </c>
    </row>
    <row r="35" spans="2:6" x14ac:dyDescent="0.35">
      <c r="E35" s="12" t="s">
        <v>19</v>
      </c>
      <c r="F35" s="12">
        <f>F33-F34</f>
        <v>59000</v>
      </c>
    </row>
    <row r="38" spans="2:6" x14ac:dyDescent="0.35">
      <c r="B38" s="1" t="s">
        <v>75</v>
      </c>
      <c r="C38" t="s">
        <v>6</v>
      </c>
    </row>
    <row r="40" spans="2:6" x14ac:dyDescent="0.35">
      <c r="B40" s="1" t="s">
        <v>510</v>
      </c>
      <c r="C40">
        <v>24500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30C6-5FB3-400F-92AC-0429B44707CA}">
  <dimension ref="A1:F34"/>
  <sheetViews>
    <sheetView topLeftCell="B19" workbookViewId="0">
      <selection activeCell="D19" sqref="D19"/>
    </sheetView>
  </sheetViews>
  <sheetFormatPr defaultRowHeight="14.5" x14ac:dyDescent="0.35"/>
  <cols>
    <col min="2" max="2" width="22.08984375" style="1" customWidth="1"/>
    <col min="4" max="4" width="8.7265625" style="1"/>
    <col min="5" max="5" width="10.08984375" style="1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487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488</v>
      </c>
      <c r="C7" s="1" t="s">
        <v>202</v>
      </c>
      <c r="D7" s="1" t="s">
        <v>5</v>
      </c>
      <c r="E7" s="1" t="s">
        <v>123</v>
      </c>
      <c r="F7" s="1" t="s">
        <v>7</v>
      </c>
    </row>
    <row r="8" spans="1:6" x14ac:dyDescent="0.35">
      <c r="B8" s="3">
        <v>45700</v>
      </c>
      <c r="D8" s="1">
        <v>6</v>
      </c>
      <c r="E8" s="1">
        <v>4000</v>
      </c>
      <c r="F8">
        <f>E8*D8</f>
        <v>24000</v>
      </c>
    </row>
    <row r="9" spans="1:6" x14ac:dyDescent="0.35">
      <c r="B9" s="3">
        <v>46054</v>
      </c>
    </row>
    <row r="10" spans="1:6" x14ac:dyDescent="0.35">
      <c r="B10" s="3">
        <v>46055</v>
      </c>
    </row>
    <row r="11" spans="1:6" x14ac:dyDescent="0.35">
      <c r="B11" s="3">
        <v>46056</v>
      </c>
    </row>
    <row r="12" spans="1:6" x14ac:dyDescent="0.35">
      <c r="B12" s="3">
        <v>46057</v>
      </c>
    </row>
    <row r="13" spans="1:6" x14ac:dyDescent="0.35">
      <c r="B13" s="3">
        <v>46058</v>
      </c>
    </row>
    <row r="14" spans="1:6" x14ac:dyDescent="0.35">
      <c r="B14" s="3">
        <v>46059</v>
      </c>
    </row>
    <row r="16" spans="1:6" x14ac:dyDescent="0.35">
      <c r="A16" t="s">
        <v>30</v>
      </c>
      <c r="B16" s="1" t="s">
        <v>489</v>
      </c>
      <c r="C16" s="1" t="s">
        <v>490</v>
      </c>
      <c r="D16" s="1">
        <v>6</v>
      </c>
      <c r="E16" s="1">
        <v>4000</v>
      </c>
      <c r="F16">
        <f>E16*D16</f>
        <v>24000</v>
      </c>
    </row>
    <row r="17" spans="2:6" x14ac:dyDescent="0.35">
      <c r="B17" s="3">
        <v>45789</v>
      </c>
    </row>
    <row r="18" spans="2:6" x14ac:dyDescent="0.35">
      <c r="B18" s="3">
        <v>46143</v>
      </c>
    </row>
    <row r="19" spans="2:6" x14ac:dyDescent="0.35">
      <c r="B19" s="3">
        <v>46144</v>
      </c>
    </row>
    <row r="20" spans="2:6" x14ac:dyDescent="0.35">
      <c r="B20" s="3">
        <v>46145</v>
      </c>
    </row>
    <row r="21" spans="2:6" x14ac:dyDescent="0.35">
      <c r="B21" s="3">
        <v>46146</v>
      </c>
    </row>
    <row r="22" spans="2:6" x14ac:dyDescent="0.35">
      <c r="B22" s="3">
        <v>46147</v>
      </c>
    </row>
    <row r="23" spans="2:6" x14ac:dyDescent="0.35">
      <c r="B23" s="3">
        <v>46148</v>
      </c>
    </row>
    <row r="26" spans="2:6" x14ac:dyDescent="0.35">
      <c r="E26" s="6" t="s">
        <v>87</v>
      </c>
      <c r="F26" s="12">
        <f>SUM(F8:F25)</f>
        <v>48000</v>
      </c>
    </row>
    <row r="27" spans="2:6" x14ac:dyDescent="0.35">
      <c r="E27" s="1" t="s">
        <v>17</v>
      </c>
      <c r="F27">
        <v>38000</v>
      </c>
    </row>
    <row r="28" spans="2:6" x14ac:dyDescent="0.35">
      <c r="E28" s="6" t="s">
        <v>350</v>
      </c>
      <c r="F28" s="12">
        <f>F26-F27</f>
        <v>10000</v>
      </c>
    </row>
    <row r="30" spans="2:6" x14ac:dyDescent="0.35">
      <c r="B30" s="6" t="s">
        <v>75</v>
      </c>
      <c r="C30" s="12" t="s">
        <v>6</v>
      </c>
    </row>
    <row r="31" spans="2:6" x14ac:dyDescent="0.35">
      <c r="B31" s="8">
        <v>45700</v>
      </c>
      <c r="C31" s="12">
        <v>4000</v>
      </c>
    </row>
    <row r="32" spans="2:6" x14ac:dyDescent="0.35">
      <c r="B32" s="8">
        <v>45789</v>
      </c>
      <c r="C32" s="12">
        <v>4000</v>
      </c>
    </row>
    <row r="33" spans="2:3" x14ac:dyDescent="0.35">
      <c r="B33" s="8" t="s">
        <v>402</v>
      </c>
      <c r="C33" s="12">
        <v>30000</v>
      </c>
    </row>
    <row r="34" spans="2:3" x14ac:dyDescent="0.35">
      <c r="B34" s="4" t="s">
        <v>87</v>
      </c>
      <c r="C34" s="14">
        <f>SUM(C31:C33)</f>
        <v>38000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4A31-F0FA-46F3-88C5-AB7E8C2404BD}">
  <dimension ref="A1:F26"/>
  <sheetViews>
    <sheetView topLeftCell="A10" workbookViewId="0">
      <selection activeCell="B21" sqref="B21:C26"/>
    </sheetView>
  </sheetViews>
  <sheetFormatPr defaultRowHeight="14.5" x14ac:dyDescent="0.35"/>
  <cols>
    <col min="2" max="2" width="14.6328125" style="1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476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477</v>
      </c>
      <c r="C7" s="1" t="s">
        <v>478</v>
      </c>
      <c r="D7" s="1" t="s">
        <v>5</v>
      </c>
      <c r="E7" s="1" t="s">
        <v>123</v>
      </c>
      <c r="F7" s="1" t="s">
        <v>7</v>
      </c>
    </row>
    <row r="8" spans="1:6" x14ac:dyDescent="0.35">
      <c r="B8" s="3">
        <v>45908</v>
      </c>
      <c r="D8">
        <v>9</v>
      </c>
      <c r="E8">
        <v>4000</v>
      </c>
      <c r="F8">
        <f>E8*D8</f>
        <v>36000</v>
      </c>
    </row>
    <row r="9" spans="1:6" x14ac:dyDescent="0.35">
      <c r="B9" s="3">
        <v>45909</v>
      </c>
    </row>
    <row r="10" spans="1:6" x14ac:dyDescent="0.35">
      <c r="B10" s="3">
        <v>45910</v>
      </c>
    </row>
    <row r="11" spans="1:6" x14ac:dyDescent="0.35">
      <c r="B11" s="3">
        <v>45911</v>
      </c>
    </row>
    <row r="12" spans="1:6" x14ac:dyDescent="0.35">
      <c r="B12" s="3">
        <v>45912</v>
      </c>
    </row>
    <row r="13" spans="1:6" x14ac:dyDescent="0.35">
      <c r="B13" s="3">
        <v>46266</v>
      </c>
    </row>
    <row r="14" spans="1:6" x14ac:dyDescent="0.35">
      <c r="B14" s="3">
        <v>46267</v>
      </c>
    </row>
    <row r="15" spans="1:6" x14ac:dyDescent="0.35">
      <c r="B15" s="3">
        <v>46268</v>
      </c>
    </row>
    <row r="16" spans="1:6" x14ac:dyDescent="0.35">
      <c r="B16" s="3">
        <v>46269</v>
      </c>
    </row>
    <row r="17" spans="2:3" x14ac:dyDescent="0.35">
      <c r="B17" s="3">
        <v>46270</v>
      </c>
    </row>
    <row r="21" spans="2:3" x14ac:dyDescent="0.35">
      <c r="B21" s="6" t="s">
        <v>228</v>
      </c>
      <c r="C21" s="12" t="s">
        <v>6</v>
      </c>
    </row>
    <row r="22" spans="2:3" x14ac:dyDescent="0.35">
      <c r="B22" s="6" t="s">
        <v>583</v>
      </c>
      <c r="C22" s="12">
        <v>1500</v>
      </c>
    </row>
    <row r="23" spans="2:3" x14ac:dyDescent="0.35">
      <c r="B23" s="6" t="s">
        <v>584</v>
      </c>
      <c r="C23" s="12">
        <v>1000</v>
      </c>
    </row>
    <row r="24" spans="2:3" x14ac:dyDescent="0.35">
      <c r="B24" s="6" t="s">
        <v>585</v>
      </c>
      <c r="C24" s="12">
        <v>1500</v>
      </c>
    </row>
    <row r="25" spans="2:3" x14ac:dyDescent="0.35">
      <c r="B25" s="6" t="s">
        <v>7</v>
      </c>
      <c r="C25" s="12">
        <f>SUM(C22:C24)</f>
        <v>4000</v>
      </c>
    </row>
    <row r="26" spans="2:3" x14ac:dyDescent="0.35">
      <c r="B26" s="6"/>
      <c r="C26" s="12"/>
    </row>
  </sheetData>
  <mergeCells count="2">
    <mergeCell ref="A1:E4"/>
    <mergeCell ref="A5:E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0301-2086-4827-AC5A-86FFB0960265}">
  <dimension ref="A1:F46"/>
  <sheetViews>
    <sheetView topLeftCell="A30" workbookViewId="0">
      <selection sqref="A1:G47"/>
    </sheetView>
  </sheetViews>
  <sheetFormatPr defaultRowHeight="14.5" x14ac:dyDescent="0.35"/>
  <cols>
    <col min="1" max="1" width="11.54296875" customWidth="1"/>
    <col min="2" max="2" width="17.6328125" style="1" customWidth="1"/>
    <col min="3" max="3" width="11.08984375" style="1" customWidth="1"/>
    <col min="5" max="5" width="9.8164062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500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501</v>
      </c>
      <c r="C7" s="1" t="s">
        <v>478</v>
      </c>
      <c r="D7" s="1" t="s">
        <v>5</v>
      </c>
      <c r="E7" s="1" t="s">
        <v>123</v>
      </c>
      <c r="F7" s="1" t="s">
        <v>7</v>
      </c>
    </row>
    <row r="8" spans="1:6" x14ac:dyDescent="0.35">
      <c r="B8" s="3">
        <v>45819</v>
      </c>
      <c r="D8">
        <v>7</v>
      </c>
      <c r="E8">
        <v>4000</v>
      </c>
      <c r="F8">
        <f>E8*D8</f>
        <v>28000</v>
      </c>
    </row>
    <row r="9" spans="1:6" x14ac:dyDescent="0.35">
      <c r="B9" s="3">
        <v>45820</v>
      </c>
    </row>
    <row r="10" spans="1:6" x14ac:dyDescent="0.35">
      <c r="B10" s="3">
        <v>46174</v>
      </c>
    </row>
    <row r="11" spans="1:6" x14ac:dyDescent="0.35">
      <c r="B11" s="3">
        <v>46175</v>
      </c>
    </row>
    <row r="12" spans="1:6" x14ac:dyDescent="0.35">
      <c r="B12" s="3">
        <v>46176</v>
      </c>
    </row>
    <row r="13" spans="1:6" x14ac:dyDescent="0.35">
      <c r="B13" s="3">
        <v>46177</v>
      </c>
    </row>
    <row r="14" spans="1:6" x14ac:dyDescent="0.35">
      <c r="B14" s="3">
        <v>46178</v>
      </c>
    </row>
    <row r="15" spans="1:6" x14ac:dyDescent="0.35">
      <c r="B15" s="3">
        <v>46179</v>
      </c>
    </row>
    <row r="17" spans="1:6" x14ac:dyDescent="0.35">
      <c r="A17" t="s">
        <v>30</v>
      </c>
      <c r="B17" s="1" t="s">
        <v>502</v>
      </c>
      <c r="C17" s="1" t="s">
        <v>503</v>
      </c>
    </row>
    <row r="18" spans="1:6" x14ac:dyDescent="0.35">
      <c r="B18" s="3">
        <v>45819</v>
      </c>
      <c r="D18">
        <v>4</v>
      </c>
      <c r="E18">
        <v>4000</v>
      </c>
      <c r="F18">
        <f>E18*D18</f>
        <v>16000</v>
      </c>
    </row>
    <row r="19" spans="1:6" x14ac:dyDescent="0.35">
      <c r="B19" s="3">
        <v>45820</v>
      </c>
    </row>
    <row r="20" spans="1:6" x14ac:dyDescent="0.35">
      <c r="A20" s="13" t="s">
        <v>159</v>
      </c>
      <c r="B20" s="3">
        <v>46174</v>
      </c>
    </row>
    <row r="21" spans="1:6" x14ac:dyDescent="0.35">
      <c r="A21" s="2">
        <v>46025</v>
      </c>
      <c r="B21" s="3">
        <v>46175</v>
      </c>
    </row>
    <row r="22" spans="1:6" x14ac:dyDescent="0.35">
      <c r="B22" s="3">
        <v>46176</v>
      </c>
    </row>
    <row r="23" spans="1:6" x14ac:dyDescent="0.35">
      <c r="B23" s="3"/>
    </row>
    <row r="24" spans="1:6" x14ac:dyDescent="0.35">
      <c r="A24" t="s">
        <v>35</v>
      </c>
      <c r="B24" s="3" t="s">
        <v>504</v>
      </c>
      <c r="C24" s="1" t="s">
        <v>505</v>
      </c>
      <c r="D24">
        <v>7</v>
      </c>
      <c r="E24">
        <v>4000</v>
      </c>
      <c r="F24">
        <f>E24*D24</f>
        <v>28000</v>
      </c>
    </row>
    <row r="25" spans="1:6" x14ac:dyDescent="0.35">
      <c r="B25" s="1" t="s">
        <v>137</v>
      </c>
    </row>
    <row r="26" spans="1:6" x14ac:dyDescent="0.35">
      <c r="B26" s="1" t="s">
        <v>138</v>
      </c>
    </row>
    <row r="27" spans="1:6" x14ac:dyDescent="0.35">
      <c r="B27" s="1" t="s">
        <v>139</v>
      </c>
    </row>
    <row r="28" spans="1:6" x14ac:dyDescent="0.35">
      <c r="B28" s="1" t="s">
        <v>208</v>
      </c>
    </row>
    <row r="29" spans="1:6" x14ac:dyDescent="0.35">
      <c r="B29" s="1" t="s">
        <v>353</v>
      </c>
    </row>
    <row r="30" spans="1:6" x14ac:dyDescent="0.35">
      <c r="B30" s="1" t="s">
        <v>399</v>
      </c>
    </row>
    <row r="31" spans="1:6" x14ac:dyDescent="0.35">
      <c r="B31" s="1" t="s">
        <v>509</v>
      </c>
    </row>
    <row r="32" spans="1:6" x14ac:dyDescent="0.35">
      <c r="B32" s="1" t="s">
        <v>576</v>
      </c>
    </row>
    <row r="33" spans="1:6" x14ac:dyDescent="0.35">
      <c r="A33" t="s">
        <v>48</v>
      </c>
      <c r="B33" s="1" t="s">
        <v>524</v>
      </c>
      <c r="C33" s="1" t="s">
        <v>525</v>
      </c>
      <c r="D33">
        <v>2</v>
      </c>
      <c r="E33">
        <v>4000</v>
      </c>
      <c r="F33">
        <f>E33*D33</f>
        <v>8000</v>
      </c>
    </row>
    <row r="34" spans="1:6" x14ac:dyDescent="0.35">
      <c r="B34" s="1" t="s">
        <v>434</v>
      </c>
    </row>
    <row r="35" spans="1:6" x14ac:dyDescent="0.35">
      <c r="B35" s="1" t="s">
        <v>475</v>
      </c>
    </row>
    <row r="36" spans="1:6" x14ac:dyDescent="0.35">
      <c r="B36" s="1" t="s">
        <v>526</v>
      </c>
    </row>
    <row r="39" spans="1:6" x14ac:dyDescent="0.35">
      <c r="E39" s="12" t="s">
        <v>87</v>
      </c>
      <c r="F39" s="12">
        <f>SUM(F8:F38)</f>
        <v>80000</v>
      </c>
    </row>
    <row r="40" spans="1:6" x14ac:dyDescent="0.35">
      <c r="E40" s="12" t="s">
        <v>17</v>
      </c>
      <c r="F40" s="12">
        <v>56000</v>
      </c>
    </row>
    <row r="41" spans="1:6" x14ac:dyDescent="0.35">
      <c r="B41" s="6" t="s">
        <v>75</v>
      </c>
      <c r="C41" s="6" t="s">
        <v>6</v>
      </c>
      <c r="E41" s="12" t="s">
        <v>350</v>
      </c>
      <c r="F41" s="12">
        <f>F39-F40</f>
        <v>24000</v>
      </c>
    </row>
    <row r="42" spans="1:6" x14ac:dyDescent="0.35">
      <c r="B42" s="6" t="s">
        <v>226</v>
      </c>
      <c r="C42" s="6">
        <v>8000</v>
      </c>
    </row>
    <row r="43" spans="1:6" x14ac:dyDescent="0.35">
      <c r="B43" s="6" t="s">
        <v>359</v>
      </c>
      <c r="C43" s="6">
        <v>15000</v>
      </c>
    </row>
    <row r="44" spans="1:6" x14ac:dyDescent="0.35">
      <c r="B44" s="8">
        <v>46237</v>
      </c>
      <c r="C44" s="6">
        <v>23000</v>
      </c>
    </row>
    <row r="45" spans="1:6" x14ac:dyDescent="0.35">
      <c r="B45" s="6" t="s">
        <v>509</v>
      </c>
      <c r="C45" s="6">
        <v>10000</v>
      </c>
    </row>
    <row r="46" spans="1:6" x14ac:dyDescent="0.35">
      <c r="B46" s="6" t="s">
        <v>87</v>
      </c>
      <c r="C46" s="6">
        <f>SUM(C42:C45)</f>
        <v>56000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396D-73ED-4CFB-A862-ABAD5DEA6B8F}">
  <dimension ref="A1:F46"/>
  <sheetViews>
    <sheetView topLeftCell="A26" workbookViewId="0">
      <selection sqref="A1:F47"/>
    </sheetView>
  </sheetViews>
  <sheetFormatPr defaultRowHeight="14.5" x14ac:dyDescent="0.35"/>
  <cols>
    <col min="2" max="2" width="17.90625" style="1" customWidth="1"/>
    <col min="3" max="3" width="9.9062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542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527</v>
      </c>
      <c r="C7" s="1" t="s">
        <v>528</v>
      </c>
      <c r="D7" s="1" t="s">
        <v>5</v>
      </c>
      <c r="E7" s="1" t="s">
        <v>123</v>
      </c>
      <c r="F7" s="1" t="s">
        <v>7</v>
      </c>
    </row>
    <row r="8" spans="1:6" x14ac:dyDescent="0.35">
      <c r="B8" s="3">
        <v>45972</v>
      </c>
      <c r="D8">
        <v>7</v>
      </c>
      <c r="E8">
        <v>4000</v>
      </c>
      <c r="F8">
        <f>E8*D8</f>
        <v>28000</v>
      </c>
    </row>
    <row r="9" spans="1:6" x14ac:dyDescent="0.35">
      <c r="B9" s="3">
        <v>45973</v>
      </c>
    </row>
    <row r="10" spans="1:6" x14ac:dyDescent="0.35">
      <c r="B10" s="3">
        <v>46327</v>
      </c>
    </row>
    <row r="11" spans="1:6" x14ac:dyDescent="0.35">
      <c r="B11" s="3">
        <v>46328</v>
      </c>
    </row>
    <row r="12" spans="1:6" x14ac:dyDescent="0.35">
      <c r="B12" s="3">
        <v>46329</v>
      </c>
    </row>
    <row r="13" spans="1:6" x14ac:dyDescent="0.35">
      <c r="B13" s="3">
        <v>46330</v>
      </c>
    </row>
    <row r="14" spans="1:6" x14ac:dyDescent="0.35">
      <c r="B14" s="3">
        <v>46331</v>
      </c>
    </row>
    <row r="15" spans="1:6" ht="14.5" customHeight="1" x14ac:dyDescent="0.35">
      <c r="B15" s="3">
        <v>46332</v>
      </c>
    </row>
    <row r="16" spans="1:6" ht="14.5" customHeight="1" x14ac:dyDescent="0.35"/>
    <row r="17" spans="1:6" ht="14.5" customHeight="1" x14ac:dyDescent="0.35">
      <c r="A17" t="s">
        <v>30</v>
      </c>
      <c r="B17" s="1" t="s">
        <v>529</v>
      </c>
      <c r="C17" t="s">
        <v>530</v>
      </c>
      <c r="D17">
        <v>7</v>
      </c>
      <c r="E17">
        <v>4000</v>
      </c>
      <c r="F17">
        <f>E17*D17</f>
        <v>28000</v>
      </c>
    </row>
    <row r="18" spans="1:6" ht="14.5" customHeight="1" x14ac:dyDescent="0.35">
      <c r="B18" s="3">
        <v>46306</v>
      </c>
    </row>
    <row r="19" spans="1:6" ht="14.5" customHeight="1" x14ac:dyDescent="0.35">
      <c r="B19" s="3">
        <v>46307</v>
      </c>
    </row>
    <row r="20" spans="1:6" ht="14.5" customHeight="1" x14ac:dyDescent="0.35">
      <c r="B20" s="3">
        <v>46296</v>
      </c>
    </row>
    <row r="21" spans="1:6" ht="14.5" customHeight="1" x14ac:dyDescent="0.35">
      <c r="B21" s="3">
        <v>46297</v>
      </c>
    </row>
    <row r="22" spans="1:6" x14ac:dyDescent="0.35">
      <c r="B22" s="3">
        <v>46298</v>
      </c>
    </row>
    <row r="23" spans="1:6" x14ac:dyDescent="0.35">
      <c r="B23" s="3">
        <v>46299</v>
      </c>
    </row>
    <row r="24" spans="1:6" x14ac:dyDescent="0.35">
      <c r="B24" s="3">
        <v>46300</v>
      </c>
    </row>
    <row r="25" spans="1:6" x14ac:dyDescent="0.35">
      <c r="B25" s="3">
        <v>46301</v>
      </c>
    </row>
    <row r="27" spans="1:6" x14ac:dyDescent="0.35">
      <c r="A27" t="s">
        <v>35</v>
      </c>
      <c r="B27" s="1" t="s">
        <v>531</v>
      </c>
      <c r="C27" t="s">
        <v>532</v>
      </c>
      <c r="D27">
        <v>7</v>
      </c>
      <c r="E27">
        <v>4000</v>
      </c>
      <c r="F27">
        <f>E27*D27</f>
        <v>28000</v>
      </c>
    </row>
    <row r="28" spans="1:6" x14ac:dyDescent="0.35">
      <c r="B28" s="3">
        <v>45941</v>
      </c>
    </row>
    <row r="29" spans="1:6" x14ac:dyDescent="0.35">
      <c r="B29" s="3">
        <v>45942</v>
      </c>
    </row>
    <row r="30" spans="1:6" x14ac:dyDescent="0.35">
      <c r="B30" s="3">
        <v>46296</v>
      </c>
    </row>
    <row r="31" spans="1:6" x14ac:dyDescent="0.35">
      <c r="B31" s="3">
        <v>46297</v>
      </c>
    </row>
    <row r="32" spans="1:6" x14ac:dyDescent="0.35">
      <c r="B32" s="3">
        <v>46298</v>
      </c>
    </row>
    <row r="33" spans="1:6" x14ac:dyDescent="0.35">
      <c r="B33" s="3">
        <v>46299</v>
      </c>
    </row>
    <row r="34" spans="1:6" x14ac:dyDescent="0.35">
      <c r="B34" s="3">
        <v>46300</v>
      </c>
    </row>
    <row r="35" spans="1:6" x14ac:dyDescent="0.35">
      <c r="B35" s="3">
        <v>46301</v>
      </c>
    </row>
    <row r="37" spans="1:6" x14ac:dyDescent="0.35">
      <c r="A37" t="s">
        <v>48</v>
      </c>
      <c r="B37" s="1" t="s">
        <v>533</v>
      </c>
      <c r="C37" t="s">
        <v>534</v>
      </c>
      <c r="D37">
        <v>7</v>
      </c>
      <c r="E37">
        <v>4000</v>
      </c>
      <c r="F37">
        <f>E37*D37</f>
        <v>28000</v>
      </c>
    </row>
    <row r="38" spans="1:6" x14ac:dyDescent="0.35">
      <c r="B38" s="1" t="s">
        <v>535</v>
      </c>
    </row>
    <row r="39" spans="1:6" x14ac:dyDescent="0.35">
      <c r="B39" s="1" t="s">
        <v>536</v>
      </c>
    </row>
    <row r="40" spans="1:6" x14ac:dyDescent="0.35">
      <c r="B40" s="1" t="s">
        <v>537</v>
      </c>
    </row>
    <row r="41" spans="1:6" x14ac:dyDescent="0.35">
      <c r="B41" s="1" t="s">
        <v>538</v>
      </c>
    </row>
    <row r="42" spans="1:6" x14ac:dyDescent="0.35">
      <c r="B42" s="1" t="s">
        <v>539</v>
      </c>
    </row>
    <row r="43" spans="1:6" x14ac:dyDescent="0.35">
      <c r="B43" s="1" t="s">
        <v>540</v>
      </c>
    </row>
    <row r="44" spans="1:6" x14ac:dyDescent="0.35">
      <c r="B44" s="1" t="s">
        <v>541</v>
      </c>
    </row>
    <row r="45" spans="1:6" x14ac:dyDescent="0.35">
      <c r="B45" s="1" t="s">
        <v>582</v>
      </c>
    </row>
    <row r="46" spans="1:6" x14ac:dyDescent="0.35">
      <c r="E46" s="12" t="s">
        <v>87</v>
      </c>
      <c r="F46" s="12">
        <f>F37+F27+F17+F8</f>
        <v>112000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E760-9D66-4468-84D9-CAF38849A2FE}">
  <dimension ref="A1:F32"/>
  <sheetViews>
    <sheetView topLeftCell="A16" workbookViewId="0">
      <selection activeCell="D21" sqref="D21:F21"/>
    </sheetView>
  </sheetViews>
  <sheetFormatPr defaultRowHeight="14.5" x14ac:dyDescent="0.35"/>
  <cols>
    <col min="2" max="2" width="14.36328125" style="1" customWidth="1"/>
    <col min="3" max="3" width="9.81640625" style="1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548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549</v>
      </c>
      <c r="C7" s="1" t="s">
        <v>550</v>
      </c>
      <c r="D7" s="1" t="s">
        <v>5</v>
      </c>
      <c r="E7" s="1" t="s">
        <v>123</v>
      </c>
      <c r="F7" s="1" t="s">
        <v>7</v>
      </c>
    </row>
    <row r="8" spans="1:6" x14ac:dyDescent="0.35">
      <c r="B8" s="1" t="s">
        <v>551</v>
      </c>
      <c r="D8">
        <v>2</v>
      </c>
      <c r="E8">
        <v>4000</v>
      </c>
      <c r="F8">
        <f>E8*D8</f>
        <v>8000</v>
      </c>
    </row>
    <row r="9" spans="1:6" x14ac:dyDescent="0.35">
      <c r="A9" s="13" t="s">
        <v>40</v>
      </c>
      <c r="B9" s="1" t="s">
        <v>552</v>
      </c>
    </row>
    <row r="10" spans="1:6" x14ac:dyDescent="0.35">
      <c r="A10" t="s">
        <v>297</v>
      </c>
      <c r="B10" s="1" t="s">
        <v>553</v>
      </c>
    </row>
    <row r="12" spans="1:6" x14ac:dyDescent="0.35">
      <c r="A12" t="s">
        <v>30</v>
      </c>
      <c r="B12" s="1" t="s">
        <v>554</v>
      </c>
      <c r="C12" s="1" t="s">
        <v>555</v>
      </c>
      <c r="D12">
        <v>6</v>
      </c>
      <c r="E12">
        <v>4000</v>
      </c>
      <c r="F12">
        <f>E12*D12</f>
        <v>24000</v>
      </c>
    </row>
    <row r="13" spans="1:6" x14ac:dyDescent="0.35">
      <c r="B13" s="1" t="s">
        <v>551</v>
      </c>
    </row>
    <row r="14" spans="1:6" x14ac:dyDescent="0.35">
      <c r="B14" s="1" t="s">
        <v>552</v>
      </c>
    </row>
    <row r="15" spans="1:6" x14ac:dyDescent="0.35">
      <c r="B15" s="1" t="s">
        <v>553</v>
      </c>
    </row>
    <row r="16" spans="1:6" x14ac:dyDescent="0.35">
      <c r="B16" s="1" t="s">
        <v>556</v>
      </c>
    </row>
    <row r="17" spans="1:6" x14ac:dyDescent="0.35">
      <c r="B17" s="1" t="s">
        <v>557</v>
      </c>
    </row>
    <row r="18" spans="1:6" x14ac:dyDescent="0.35">
      <c r="B18" s="1" t="s">
        <v>558</v>
      </c>
    </row>
    <row r="19" spans="1:6" x14ac:dyDescent="0.35">
      <c r="B19" s="1" t="s">
        <v>559</v>
      </c>
    </row>
    <row r="21" spans="1:6" x14ac:dyDescent="0.35">
      <c r="A21" t="s">
        <v>35</v>
      </c>
      <c r="B21" s="1" t="s">
        <v>560</v>
      </c>
      <c r="C21" s="1" t="s">
        <v>561</v>
      </c>
      <c r="D21">
        <v>6</v>
      </c>
      <c r="E21">
        <v>4000</v>
      </c>
      <c r="F21">
        <f>E21*D21</f>
        <v>24000</v>
      </c>
    </row>
    <row r="22" spans="1:6" x14ac:dyDescent="0.35">
      <c r="B22" s="1" t="s">
        <v>551</v>
      </c>
    </row>
    <row r="23" spans="1:6" x14ac:dyDescent="0.35">
      <c r="B23" s="1" t="s">
        <v>552</v>
      </c>
    </row>
    <row r="24" spans="1:6" x14ac:dyDescent="0.35">
      <c r="B24" s="1" t="s">
        <v>553</v>
      </c>
    </row>
    <row r="25" spans="1:6" x14ac:dyDescent="0.35">
      <c r="B25" s="1" t="s">
        <v>556</v>
      </c>
    </row>
    <row r="26" spans="1:6" x14ac:dyDescent="0.35">
      <c r="B26" s="1" t="s">
        <v>557</v>
      </c>
    </row>
    <row r="27" spans="1:6" x14ac:dyDescent="0.35">
      <c r="B27" s="1" t="s">
        <v>558</v>
      </c>
    </row>
    <row r="28" spans="1:6" x14ac:dyDescent="0.35">
      <c r="B28" s="1" t="s">
        <v>559</v>
      </c>
    </row>
    <row r="30" spans="1:6" x14ac:dyDescent="0.35">
      <c r="E30" s="12" t="s">
        <v>87</v>
      </c>
      <c r="F30" s="12">
        <f>SUM(F8:F29)</f>
        <v>56000</v>
      </c>
    </row>
    <row r="31" spans="1:6" x14ac:dyDescent="0.35">
      <c r="E31" s="12" t="s">
        <v>17</v>
      </c>
      <c r="F31" s="12">
        <v>20000</v>
      </c>
    </row>
    <row r="32" spans="1:6" x14ac:dyDescent="0.35">
      <c r="E32" s="12" t="s">
        <v>19</v>
      </c>
      <c r="F32" s="12">
        <f>F30-F31</f>
        <v>36000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B7D7-18EC-4531-AAE2-CB6AD176B4DD}">
  <dimension ref="A1:F36"/>
  <sheetViews>
    <sheetView topLeftCell="A31" workbookViewId="0">
      <selection activeCell="D9" sqref="D9"/>
    </sheetView>
  </sheetViews>
  <sheetFormatPr defaultRowHeight="14.5" x14ac:dyDescent="0.35"/>
  <cols>
    <col min="2" max="2" width="14.6328125" customWidth="1"/>
  </cols>
  <sheetData>
    <row r="1" spans="1:6" x14ac:dyDescent="0.35">
      <c r="A1" s="34" t="s">
        <v>0</v>
      </c>
      <c r="B1" s="34"/>
      <c r="C1" s="34"/>
      <c r="D1" s="34"/>
      <c r="E1" s="34"/>
    </row>
    <row r="2" spans="1:6" x14ac:dyDescent="0.35">
      <c r="A2" s="34"/>
      <c r="B2" s="34"/>
      <c r="C2" s="34"/>
      <c r="D2" s="34"/>
      <c r="E2" s="34"/>
    </row>
    <row r="3" spans="1:6" x14ac:dyDescent="0.35">
      <c r="A3" s="34"/>
      <c r="B3" s="34"/>
      <c r="C3" s="34"/>
      <c r="D3" s="34"/>
      <c r="E3" s="34"/>
    </row>
    <row r="4" spans="1:6" x14ac:dyDescent="0.35">
      <c r="A4" s="34"/>
      <c r="B4" s="34"/>
      <c r="C4" s="34"/>
      <c r="D4" s="34"/>
      <c r="E4" s="34"/>
    </row>
    <row r="5" spans="1:6" x14ac:dyDescent="0.35">
      <c r="A5" s="35" t="s">
        <v>562</v>
      </c>
      <c r="B5" s="35"/>
      <c r="C5" s="35"/>
      <c r="D5" s="35"/>
      <c r="E5" s="35"/>
    </row>
    <row r="6" spans="1:6" x14ac:dyDescent="0.35">
      <c r="A6" s="35"/>
      <c r="B6" s="35"/>
      <c r="C6" s="35"/>
      <c r="D6" s="35"/>
      <c r="E6" s="35"/>
    </row>
    <row r="7" spans="1:6" x14ac:dyDescent="0.35">
      <c r="A7" t="s">
        <v>42</v>
      </c>
      <c r="B7" s="1" t="s">
        <v>563</v>
      </c>
      <c r="C7" s="1" t="s">
        <v>564</v>
      </c>
      <c r="D7" s="1" t="s">
        <v>5</v>
      </c>
      <c r="E7" s="1" t="s">
        <v>123</v>
      </c>
      <c r="F7" s="1" t="s">
        <v>7</v>
      </c>
    </row>
    <row r="8" spans="1:6" x14ac:dyDescent="0.35">
      <c r="B8" s="1" t="s">
        <v>551</v>
      </c>
      <c r="D8">
        <v>7</v>
      </c>
      <c r="E8">
        <v>4000</v>
      </c>
      <c r="F8">
        <f>E8*D8</f>
        <v>28000</v>
      </c>
    </row>
    <row r="9" spans="1:6" x14ac:dyDescent="0.35">
      <c r="B9" s="1" t="s">
        <v>552</v>
      </c>
    </row>
    <row r="10" spans="1:6" x14ac:dyDescent="0.35">
      <c r="B10" s="1" t="s">
        <v>553</v>
      </c>
    </row>
    <row r="11" spans="1:6" x14ac:dyDescent="0.35">
      <c r="B11" s="1" t="s">
        <v>556</v>
      </c>
    </row>
    <row r="12" spans="1:6" x14ac:dyDescent="0.35">
      <c r="B12" s="1" t="s">
        <v>557</v>
      </c>
    </row>
    <row r="13" spans="1:6" x14ac:dyDescent="0.35">
      <c r="B13" s="1" t="s">
        <v>558</v>
      </c>
    </row>
    <row r="14" spans="1:6" x14ac:dyDescent="0.35">
      <c r="B14" s="1" t="s">
        <v>559</v>
      </c>
    </row>
    <row r="15" spans="1:6" x14ac:dyDescent="0.35">
      <c r="B15" s="1" t="s">
        <v>582</v>
      </c>
    </row>
    <row r="16" spans="1:6" x14ac:dyDescent="0.35">
      <c r="A16" t="s">
        <v>30</v>
      </c>
      <c r="B16" s="1" t="s">
        <v>355</v>
      </c>
    </row>
    <row r="17" spans="1:6" x14ac:dyDescent="0.35">
      <c r="B17" s="1" t="s">
        <v>551</v>
      </c>
      <c r="D17">
        <v>7</v>
      </c>
      <c r="E17">
        <v>4000</v>
      </c>
      <c r="F17">
        <f>E17*D17</f>
        <v>28000</v>
      </c>
    </row>
    <row r="18" spans="1:6" x14ac:dyDescent="0.35">
      <c r="B18" s="1" t="s">
        <v>552</v>
      </c>
    </row>
    <row r="19" spans="1:6" x14ac:dyDescent="0.35">
      <c r="B19" s="1" t="s">
        <v>553</v>
      </c>
    </row>
    <row r="20" spans="1:6" x14ac:dyDescent="0.35">
      <c r="B20" s="1" t="s">
        <v>556</v>
      </c>
    </row>
    <row r="21" spans="1:6" x14ac:dyDescent="0.35">
      <c r="B21" s="1" t="s">
        <v>557</v>
      </c>
    </row>
    <row r="22" spans="1:6" x14ac:dyDescent="0.35">
      <c r="B22" s="1" t="s">
        <v>558</v>
      </c>
    </row>
    <row r="23" spans="1:6" x14ac:dyDescent="0.35">
      <c r="B23" s="1" t="s">
        <v>559</v>
      </c>
    </row>
    <row r="24" spans="1:6" x14ac:dyDescent="0.35">
      <c r="B24" s="1" t="s">
        <v>582</v>
      </c>
    </row>
    <row r="25" spans="1:6" x14ac:dyDescent="0.35">
      <c r="A25" t="s">
        <v>35</v>
      </c>
      <c r="B25" s="1" t="s">
        <v>565</v>
      </c>
    </row>
    <row r="26" spans="1:6" x14ac:dyDescent="0.35">
      <c r="B26" s="1" t="s">
        <v>551</v>
      </c>
      <c r="D26">
        <v>7</v>
      </c>
      <c r="E26">
        <v>4000</v>
      </c>
      <c r="F26">
        <f>E26*D26</f>
        <v>28000</v>
      </c>
    </row>
    <row r="27" spans="1:6" x14ac:dyDescent="0.35">
      <c r="B27" s="1" t="s">
        <v>552</v>
      </c>
    </row>
    <row r="28" spans="1:6" x14ac:dyDescent="0.35">
      <c r="B28" s="1" t="s">
        <v>553</v>
      </c>
    </row>
    <row r="29" spans="1:6" x14ac:dyDescent="0.35">
      <c r="B29" s="1" t="s">
        <v>556</v>
      </c>
    </row>
    <row r="30" spans="1:6" x14ac:dyDescent="0.35">
      <c r="B30" s="1" t="s">
        <v>557</v>
      </c>
    </row>
    <row r="31" spans="1:6" x14ac:dyDescent="0.35">
      <c r="B31" s="1" t="s">
        <v>558</v>
      </c>
    </row>
    <row r="32" spans="1:6" x14ac:dyDescent="0.35">
      <c r="B32" s="1" t="s">
        <v>559</v>
      </c>
    </row>
    <row r="33" spans="2:6" x14ac:dyDescent="0.35">
      <c r="B33" s="1" t="s">
        <v>582</v>
      </c>
    </row>
    <row r="34" spans="2:6" x14ac:dyDescent="0.35">
      <c r="E34" s="12" t="s">
        <v>7</v>
      </c>
      <c r="F34" s="12">
        <f>SUM(F8:F33)</f>
        <v>84000</v>
      </c>
    </row>
    <row r="35" spans="2:6" x14ac:dyDescent="0.35">
      <c r="E35" s="12" t="s">
        <v>17</v>
      </c>
      <c r="F35" s="12">
        <v>24000</v>
      </c>
    </row>
    <row r="36" spans="2:6" x14ac:dyDescent="0.35">
      <c r="E36" s="12" t="s">
        <v>19</v>
      </c>
      <c r="F36" s="12">
        <f>F34-F35</f>
        <v>60000</v>
      </c>
    </row>
  </sheetData>
  <mergeCells count="2">
    <mergeCell ref="A1:E4"/>
    <mergeCell ref="A5:E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2261-B208-426F-8304-321C7C666E27}">
  <dimension ref="A1"/>
  <sheetViews>
    <sheetView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ચંદ્ર્કાંતભાઈ દેસાઈ</vt:lpstr>
      <vt:lpstr>હિરેન કુમાર કાલુંભાઈ પરખિયા</vt:lpstr>
      <vt:lpstr>જયેશ ભાઈ આહીર</vt:lpstr>
      <vt:lpstr>હિરલસિંહ ગુણવંતસિંહ રાઓલ </vt:lpstr>
      <vt:lpstr>વસરા આહીર જગાભાઈ કાનાભાઈ 2</vt:lpstr>
      <vt:lpstr>ભીમણી સંજયભાઈ બ્રીજલ ભાઈ</vt:lpstr>
      <vt:lpstr>PMP કન્સ્ટ્રકશન</vt:lpstr>
      <vt:lpstr>Sheet1</vt:lpstr>
      <vt:lpstr>રવિભાઈ પટેલ</vt:lpstr>
      <vt:lpstr>Sheet3</vt:lpstr>
      <vt:lpstr>Sheet2</vt:lpstr>
      <vt:lpstr>રૂપેશભાઈ ઠક્કર </vt:lpstr>
      <vt:lpstr>અરવિંદભાઈ ONGC</vt:lpstr>
      <vt:lpstr>Sheet10</vt:lpstr>
      <vt:lpstr>ચિરાગભાઈ સુરાણી</vt:lpstr>
      <vt:lpstr>સતિષ ભાઈ ભ્રમભટ્ટ</vt:lpstr>
      <vt:lpstr>Sheet12</vt:lpstr>
      <vt:lpstr>પટેલ ચિંતન ભાઈ </vt:lpstr>
      <vt:lpstr>અલ્પેશભાઈ (મોહનીય કન્સ્ટ્રકશન)</vt:lpstr>
      <vt:lpstr>ભરવાડ લાલાભાઈ લાખાભાઈ</vt:lpstr>
      <vt:lpstr>Sheet5</vt:lpstr>
      <vt:lpstr>ગૌરાંગભાઈ પટેલ (નડિયાદ)</vt:lpstr>
      <vt:lpstr>બ્રિજલભાઈ  ભરવાડ</vt:lpstr>
      <vt:lpstr>ગુરુચરણ ભાઈ (રેલવે કોન્ટ્રાકટર)</vt:lpstr>
      <vt:lpstr>દિયા  કન્સ્ટ્રકશન</vt:lpstr>
      <vt:lpstr>દીવાન ભાઈ</vt:lpstr>
      <vt:lpstr>દિવાન ભાઈ.2</vt:lpstr>
      <vt:lpstr>ભનુભાઈ ભરવાડ</vt:lpstr>
      <vt:lpstr>પરેશભાઈ આયાણી	</vt:lpstr>
      <vt:lpstr>રાજુ ભાઈ </vt:lpstr>
      <vt:lpstr>ચિંતનભાઈ પટેલ</vt:lpstr>
      <vt:lpstr>સાવંત ભાઈ પદમણી</vt:lpstr>
      <vt:lpstr>Sheet14</vt:lpstr>
      <vt:lpstr>ભાવિન  ભાઈ ભરવાડ</vt:lpstr>
      <vt:lpstr>રવિ ભાઈ દરબાર</vt:lpstr>
      <vt:lpstr>Sheet11</vt:lpstr>
      <vt:lpstr>Sheet13</vt:lpstr>
      <vt:lpstr>વિનુ ભાઈ બદીયાભાઈ</vt:lpstr>
      <vt:lpstr>રતનભાઈ સિંહ પરમાર</vt:lpstr>
      <vt:lpstr>જયંતીભાઈ ONGC</vt:lpstr>
      <vt:lpstr>પ્રતાપ વાઘેલા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>Mihit Prajapati</cp:lastModifiedBy>
  <cp:lastPrinted>2026-05-03T09:38:12Z</cp:lastPrinted>
  <dcterms:created xsi:type="dcterms:W3CDTF">2015-06-05T18:17:20Z</dcterms:created>
  <dcterms:modified xsi:type="dcterms:W3CDTF">2026-06-19T08:39:04Z</dcterms:modified>
</cp:coreProperties>
</file>